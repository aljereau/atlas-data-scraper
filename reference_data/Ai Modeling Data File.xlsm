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95883243b58446d/Atlas/AI Modeling/"/>
    </mc:Choice>
  </mc:AlternateContent>
  <xr:revisionPtr revIDLastSave="0" documentId="8_{2DF6D5DC-4736-4E6C-BC01-47564F8EC8CE}" xr6:coauthVersionLast="47" xr6:coauthVersionMax="47" xr10:uidLastSave="{00000000-0000-0000-0000-000000000000}"/>
  <bookViews>
    <workbookView xWindow="-30840" yWindow="-10365" windowWidth="30960" windowHeight="16800" xr2:uid="{00000000-000D-0000-FFFF-FFFF00000000}"/>
  </bookViews>
  <sheets>
    <sheet name="🏡 Property Details" sheetId="5" r:id="rId1"/>
    <sheet name="Example Data" sheetId="7" r:id="rId2"/>
  </sheets>
  <functionGroups builtInGroupCount="19"/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7" l="1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C3" i="5" a="1"/>
  <c r="C8" i="5" a="1"/>
  <c r="C4" i="5" a="1"/>
  <c r="C12" i="5" a="1"/>
  <c r="C16" i="5" a="1"/>
  <c r="C20" i="5" a="1"/>
  <c r="C24" i="5" a="1"/>
  <c r="C28" i="5" a="1"/>
  <c r="C32" i="5" a="1"/>
  <c r="C36" i="5" a="1"/>
  <c r="C40" i="5" a="1"/>
  <c r="C44" i="5" a="1"/>
  <c r="C48" i="5" a="1"/>
  <c r="C52" i="5" a="1"/>
  <c r="C56" i="5" a="1"/>
  <c r="C60" i="5" a="1"/>
  <c r="C11" i="5" a="1"/>
  <c r="C27" i="5" a="1"/>
  <c r="C43" i="5" a="1"/>
  <c r="C63" i="5" a="1"/>
  <c r="C9" i="5" a="1"/>
  <c r="C45" i="5" a="1"/>
  <c r="C57" i="5" a="1"/>
  <c r="C14" i="5" a="1"/>
  <c r="C26" i="5" a="1"/>
  <c r="C34" i="5" a="1"/>
  <c r="C50" i="5" a="1"/>
  <c r="C62" i="5" a="1"/>
  <c r="C7" i="5" a="1"/>
  <c r="C31" i="5" a="1"/>
  <c r="C51" i="5" a="1"/>
  <c r="C5" i="5" a="1"/>
  <c r="C13" i="5" a="1"/>
  <c r="C17" i="5" a="1"/>
  <c r="C21" i="5" a="1"/>
  <c r="C25" i="5" a="1"/>
  <c r="C29" i="5" a="1"/>
  <c r="C33" i="5" a="1"/>
  <c r="C37" i="5" a="1"/>
  <c r="C41" i="5" a="1"/>
  <c r="C49" i="5" a="1"/>
  <c r="C53" i="5" a="1"/>
  <c r="C61" i="5" a="1"/>
  <c r="C18" i="5" a="1"/>
  <c r="C30" i="5" a="1"/>
  <c r="C46" i="5" a="1"/>
  <c r="C58" i="5" a="1"/>
  <c r="C23" i="5" a="1"/>
  <c r="C47" i="5" a="1"/>
  <c r="C10" i="5" a="1"/>
  <c r="C42" i="5" a="1"/>
  <c r="C15" i="5" a="1"/>
  <c r="C35" i="5" a="1"/>
  <c r="C55" i="5" a="1"/>
  <c r="C6" i="5" a="1"/>
  <c r="C22" i="5" a="1"/>
  <c r="C38" i="5" a="1"/>
  <c r="C54" i="5" a="1"/>
  <c r="C19" i="5" a="1"/>
  <c r="C39" i="5" a="1"/>
  <c r="C59" i="5" a="1"/>
  <c r="C2" i="5" a="1"/>
  <c r="C59" i="5" l="1"/>
  <c r="C39" i="5"/>
  <c r="C19" i="5"/>
  <c r="C54" i="5"/>
  <c r="C38" i="5"/>
  <c r="C22" i="5"/>
  <c r="C6" i="5"/>
  <c r="C55" i="5"/>
  <c r="C35" i="5"/>
  <c r="C15" i="5"/>
  <c r="C42" i="5"/>
  <c r="C10" i="5"/>
  <c r="C47" i="5"/>
  <c r="C23" i="5"/>
  <c r="C58" i="5"/>
  <c r="C46" i="5"/>
  <c r="C30" i="5"/>
  <c r="C18" i="5"/>
  <c r="C61" i="5"/>
  <c r="C53" i="5"/>
  <c r="C49" i="5"/>
  <c r="C41" i="5"/>
  <c r="C37" i="5"/>
  <c r="C33" i="5"/>
  <c r="C29" i="5"/>
  <c r="C25" i="5"/>
  <c r="C21" i="5"/>
  <c r="C17" i="5"/>
  <c r="C13" i="5"/>
  <c r="C5" i="5"/>
  <c r="C51" i="5"/>
  <c r="C31" i="5"/>
  <c r="C7" i="5"/>
  <c r="C62" i="5"/>
  <c r="C50" i="5"/>
  <c r="C34" i="5"/>
  <c r="C26" i="5"/>
  <c r="C14" i="5"/>
  <c r="C57" i="5"/>
  <c r="C45" i="5"/>
  <c r="C9" i="5"/>
  <c r="C63" i="5"/>
  <c r="C43" i="5"/>
  <c r="C27" i="5"/>
  <c r="C11" i="5"/>
  <c r="C60" i="5"/>
  <c r="C56" i="5"/>
  <c r="C52" i="5"/>
  <c r="C48" i="5"/>
  <c r="C44" i="5"/>
  <c r="C40" i="5"/>
  <c r="C36" i="5"/>
  <c r="C32" i="5"/>
  <c r="C28" i="5"/>
  <c r="C24" i="5"/>
  <c r="C20" i="5"/>
  <c r="C16" i="5"/>
  <c r="C12" i="5"/>
  <c r="C4" i="5"/>
  <c r="C8" i="5"/>
  <c r="C3" i="5"/>
  <c r="C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<sst xmlns="http://schemas.openxmlformats.org/spreadsheetml/2006/main" count="319" uniqueCount="227">
  <si>
    <t>Category</t>
  </si>
  <si>
    <t>Property Details</t>
  </si>
  <si>
    <t>Property Listings &amp; Transactions</t>
  </si>
  <si>
    <t>Leasehold</t>
  </si>
  <si>
    <t>Energy Rating</t>
  </si>
  <si>
    <t>Funda</t>
  </si>
  <si>
    <t>Huispedia</t>
  </si>
  <si>
    <t>Metric</t>
  </si>
  <si>
    <t>Source Name</t>
  </si>
  <si>
    <t>Source URL</t>
  </si>
  <si>
    <t>Area on page</t>
  </si>
  <si>
    <t>Method/Logic</t>
  </si>
  <si>
    <t>Property Name</t>
  </si>
  <si>
    <t>https://www.funda.nl/detail/huur/amsterdam/appartement-batteryparkstraat-31/89280150/</t>
  </si>
  <si>
    <t>Manual Entry</t>
  </si>
  <si>
    <t>Batteryparkstraat 31</t>
  </si>
  <si>
    <t>Address</t>
  </si>
  <si>
    <t>Batteryparkstraat 31 1031 KH Amsterdam Overhoeks</t>
  </si>
  <si>
    <t>Property Type</t>
  </si>
  <si>
    <t>Appartment</t>
  </si>
  <si>
    <t>Square Meters (Living)</t>
  </si>
  <si>
    <t>Year Built</t>
  </si>
  <si>
    <t>Bouwjaar</t>
  </si>
  <si>
    <t>Allecijfers</t>
  </si>
  <si>
    <t>A++</t>
  </si>
  <si>
    <t>Land Ownership Type</t>
  </si>
  <si>
    <t>Mock Data</t>
  </si>
  <si>
    <t>Renovation History</t>
  </si>
  <si>
    <t>Market Price (€)</t>
  </si>
  <si>
    <t>https://huispedia.nl/amsterdam/1031kh/batteryparkstraat/65</t>
  </si>
  <si>
    <t>Manual Input or Huispedia (Avg Sale Last 6 Months)</t>
  </si>
  <si>
    <t>Avg. Sale Price (Last 12 Months) (€)</t>
  </si>
  <si>
    <t>https://huispedia.nl/amsterdam/batteryparkstraat</t>
  </si>
  <si>
    <t>Sale Price Variance (%)</t>
  </si>
  <si>
    <t>Vergelijkbaar verkocht in de buurt - Vraagprijs</t>
  </si>
  <si>
    <t>Transaction Volume (Last 6 Months)</t>
  </si>
  <si>
    <t>AlleCijfers</t>
  </si>
  <si>
    <t>https://www.funda.nl/zoeken/koop/?selected_area=[%22amsterdam/straat-batteryparkstraat%22]</t>
  </si>
  <si>
    <t>Koopwoningen</t>
  </si>
  <si>
    <t>Allecijfers: Delta inhabitants YoY/2</t>
  </si>
  <si>
    <t>Avg. Listing-to-Sale Ratio (%)</t>
  </si>
  <si>
    <t>Median Days on Market</t>
  </si>
  <si>
    <t>Active Listings in Area</t>
  </si>
  <si>
    <t>woningen te koop</t>
  </si>
  <si>
    <t># of Properties Sold in Last Year(nationwide)</t>
  </si>
  <si>
    <t>Globalpropertyguide</t>
  </si>
  <si>
    <t>https://www.globalpropertyguide.com/europe/netherlands/price-history#:~:text=In%20Q4%202024%3A,a%20city%20average%20of%206.29%25.</t>
  </si>
  <si>
    <t>Rental Market Data</t>
  </si>
  <si>
    <t>Avg. Monthly Rent (€)</t>
  </si>
  <si>
    <t>https://www.funda.nl/zoeken/huur/?selected_area=[%22amsterdam/straat-batteryparkstraat%22]&amp;zoom=20&amp;centerLat=52.3878&amp;centerLng=4.903</t>
  </si>
  <si>
    <t>Gross Rental Yield (%)</t>
  </si>
  <si>
    <t>Vacancy Rate (%)</t>
  </si>
  <si>
    <t>Avg. Lease Duration(months)</t>
  </si>
  <si>
    <t>Tenant Demand Score (1-10)</t>
  </si>
  <si>
    <t>Rental Growth Rate (%)</t>
  </si>
  <si>
    <t>Price Appreciation Trends</t>
  </si>
  <si>
    <t>Historical Sale Prices (Last 5 Years)</t>
  </si>
  <si>
    <t>CBS</t>
  </si>
  <si>
    <t>https://www.cbs.nl</t>
  </si>
  <si>
    <t>Pulled from transaction db or avg yearly price</t>
  </si>
  <si>
    <t>Avg. Annual Price Growth (%)</t>
  </si>
  <si>
    <t>ceicdata</t>
  </si>
  <si>
    <t>https://www.ceicdata.com/en/indicator/netherlands/house-prices-growth#:~:text=Key%20information%20about%20House%20Prices%20Growth&amp;text=YoY%20growth%20data%20is%20updated,%2D9.6%25%20in%20Jan%202013.</t>
  </si>
  <si>
    <t>Price Per Square Meter (€)</t>
  </si>
  <si>
    <t>Forecasted Price Growth (%)</t>
  </si>
  <si>
    <t>Rabobank</t>
  </si>
  <si>
    <t>expected to become 8.6% more expensive on average this year</t>
  </si>
  <si>
    <t>TREND(Last 5Y of Sales, Forecast for Next 2Y)</t>
  </si>
  <si>
    <t>Economic Data</t>
  </si>
  <si>
    <t>GDP Growth (%)</t>
  </si>
  <si>
    <t>Google</t>
  </si>
  <si>
    <t>https://www.google.com/search?q=population+growth+netherlands&amp;oq=population+growth+neth&amp;gs_lcrp=EgZjaHJvbWUqDAgAEAAYRhj7ARiABDIMCAAQABhGGPsBGIAEMgYIARBFGDkyCAgCEAAYFhgeMggIAxAAGBYYHjIICAQQABgWGB4yCAgFEAAYFhgeMggIBhAAGBYYHjIICAcQABgWGB4yCAgIEAAYFhgeMggICRAAGBYYHtIBCDUyNzFqMGo0qAIAsAIB&amp;sourceid=chrome&amp;ie=UTF-8</t>
  </si>
  <si>
    <t>GDP Growth Rate</t>
  </si>
  <si>
    <t>Population Growth (%)</t>
  </si>
  <si>
    <t>Unemployment Rate (%)</t>
  </si>
  <si>
    <t>Mortgage Rate (%)</t>
  </si>
  <si>
    <t>ABN AMRO</t>
  </si>
  <si>
    <t>https://www.abnamro.nl/en/personal/mortgages/interest-rates/index.html</t>
  </si>
  <si>
    <t>sd</t>
  </si>
  <si>
    <t>ABN AMRO or Google Finance API</t>
  </si>
  <si>
    <t>Inflation Rate (%)</t>
  </si>
  <si>
    <t>Housing Market Confidence (%)</t>
  </si>
  <si>
    <t>https://www.funda.nl</t>
  </si>
  <si>
    <t>Funda Index</t>
  </si>
  <si>
    <t>Real Estate Investment Sentiment Score (1-10)</t>
  </si>
  <si>
    <t>Handelsbanken</t>
  </si>
  <si>
    <t>Survey data scaled to 10</t>
  </si>
  <si>
    <t>Market Volatility &amp; Liquidity</t>
  </si>
  <si>
    <t>Market Volatility (Price Swings %)</t>
  </si>
  <si>
    <t>Avg. Time to Sell (Days)</t>
  </si>
  <si>
    <t>https://www.funda.nl/informatie/amsterdam/overhoeks/</t>
  </si>
  <si>
    <t>Gem. Verkooptijd</t>
  </si>
  <si>
    <t>Market Liquidity Score (1-10)</t>
  </si>
  <si>
    <t>Price Correction Probability (%)</t>
  </si>
  <si>
    <t>dmfco</t>
  </si>
  <si>
    <t>https://www.dmfco.nl/insights/dutch-housing-and-mortgage-market-q3-2024/</t>
  </si>
  <si>
    <t>correction probability</t>
  </si>
  <si>
    <t>TREND(Price Drops Over 5Y, Forecast Next Year)</t>
  </si>
  <si>
    <t>Legal</t>
  </si>
  <si>
    <t>Property Tax Rate (%)</t>
  </si>
  <si>
    <t>https://www.amsterdam.nl</t>
  </si>
  <si>
    <t>https://www.amsterdam.nl/en/municipal-taxes/property-tax-ozb/</t>
  </si>
  <si>
    <t>Lookup based on country/state</t>
  </si>
  <si>
    <t>Short-Term Rental Allowed? (Yes/No)</t>
  </si>
  <si>
    <t>Airbtics</t>
  </si>
  <si>
    <t>https://airbtics.com/airbnb-rules-in-amsterdam-netherlands/#:~:text=Private%20vacation%20rentals%20can%20be,a%20permit%20like%20vacation%20rentals.</t>
  </si>
  <si>
    <t>nights</t>
  </si>
  <si>
    <t>Regulatory Website Check</t>
  </si>
  <si>
    <t>Yes</t>
  </si>
  <si>
    <t>Zoning Restrictions</t>
  </si>
  <si>
    <t>https://www.ruimtelijkeplannen.nl</t>
  </si>
  <si>
    <t>Gov Zoning Database</t>
  </si>
  <si>
    <t>Residential use</t>
  </si>
  <si>
    <t>Rent Control? (Yes/No)</t>
  </si>
  <si>
    <t>https://www.rijksoverheid.nl</t>
  </si>
  <si>
    <t>Check against local laws</t>
  </si>
  <si>
    <t>No</t>
  </si>
  <si>
    <t>Gov. Housing Regs Score (1-10)</t>
  </si>
  <si>
    <t>Weighted Score based on laws</t>
  </si>
  <si>
    <t>Location</t>
  </si>
  <si>
    <t>Neighborhood Score (1-10)</t>
  </si>
  <si>
    <t>https://goodmigrations.com</t>
  </si>
  <si>
    <t>Weighted Crime, Schools, Transport</t>
  </si>
  <si>
    <t>Walkability Index</t>
  </si>
  <si>
    <t>https://www.goodmigrations.com</t>
  </si>
  <si>
    <t>INDEX(Walkscore API, Address Lookup)</t>
  </si>
  <si>
    <t>Good</t>
  </si>
  <si>
    <t>Proximity to Public Transport</t>
  </si>
  <si>
    <t>INDEX(Transport API, Distance)</t>
  </si>
  <si>
    <t>Ferry 5 min; Metro 15 min</t>
  </si>
  <si>
    <t>Proximity to Key Amenities</t>
  </si>
  <si>
    <t>Google Places API</t>
  </si>
  <si>
    <t>1 supermarket; restaurants nearby</t>
  </si>
  <si>
    <t>Tourism Demand Score (1-10)</t>
  </si>
  <si>
    <t>https://www.hvs.com</t>
  </si>
  <si>
    <t>(Hotel Occupancy + Airbnb Listings Growth)</t>
  </si>
  <si>
    <t>Short-Term Rental Potential (%)</t>
  </si>
  <si>
    <t>Tourist Demand + Rental Regulations</t>
  </si>
  <si>
    <t xml:space="preserve">Bos en Lommerplantsoen 99-L  1055AA Amsterdam </t>
  </si>
  <si>
    <t xml:space="preserve">Gouden Leeuw 327  1103KG Amsterdam </t>
  </si>
  <si>
    <t xml:space="preserve">Bezaanjachtplein 25  1034CR Amsterdam </t>
  </si>
  <si>
    <t xml:space="preserve">Charlotte Brontéstraat 305  1102XD Amsterdam </t>
  </si>
  <si>
    <t xml:space="preserve">Kelbergen 54  1104LC Amsterdam </t>
  </si>
  <si>
    <t xml:space="preserve">Marianellastraat 55  1069NM Amsterdam </t>
  </si>
  <si>
    <t xml:space="preserve">SPOT Amsterdam | Crystal (Bouwnr. 39)  1101DA Amsterdam </t>
  </si>
  <si>
    <t xml:space="preserve">Van Ostadestraat 55-3  1072SN Amsterdam </t>
  </si>
  <si>
    <t xml:space="preserve">Sloterkade 75-1  1058HH Amsterdam </t>
  </si>
  <si>
    <t xml:space="preserve">Vrijzicht 57  1068CE Amsterdam </t>
  </si>
  <si>
    <t xml:space="preserve">Spreeuwenpark 9-D  1021GS Amsterdam </t>
  </si>
  <si>
    <t xml:space="preserve">Stadhouderskade 20-G  1054ES Amsterdam </t>
  </si>
  <si>
    <t xml:space="preserve">Mensinge 54  1083HE Amsterdam </t>
  </si>
  <si>
    <t xml:space="preserve">Elements | Parc Twin loft (Bouwnr. P 2.8)  1096AC Amsterdam </t>
  </si>
  <si>
    <t xml:space="preserve">Overtoom 495-2  1054LG Amsterdam </t>
  </si>
  <si>
    <t xml:space="preserve">Saftlevenstraat 40-C  3015BR Rotterdam </t>
  </si>
  <si>
    <t xml:space="preserve">Coolhaven 207  3015GC Rotterdam </t>
  </si>
  <si>
    <t xml:space="preserve">Schiedamse Vest 65-B  3012BE Rotterdam </t>
  </si>
  <si>
    <t xml:space="preserve">Botersloot 393  3011HE Rotterdam </t>
  </si>
  <si>
    <t xml:space="preserve">Scheepstimmermanslaan 21-B02  3016AD Rotterdam </t>
  </si>
  <si>
    <t xml:space="preserve">Mariniersweg 82-E  3011NT Rotterdam </t>
  </si>
  <si>
    <t xml:space="preserve">Breitnerstraat 64-B  3015XJ Rotterdam </t>
  </si>
  <si>
    <t xml:space="preserve">Willemsplein 519  3016DR Rotterdam </t>
  </si>
  <si>
    <t xml:space="preserve">Eendrachtsweg 40-A  3012LD Rotterdam </t>
  </si>
  <si>
    <t xml:space="preserve">Van Heemskerckstraat 67-a  9726GH Groningen </t>
  </si>
  <si>
    <t xml:space="preserve">Gorechtkade 1-25  9713BA Groningen </t>
  </si>
  <si>
    <t xml:space="preserve">Mauritsdwarsstraat 17  9724BN Groningen </t>
  </si>
  <si>
    <t xml:space="preserve">Galkemaheerd 41  9736BE Groningen </t>
  </si>
  <si>
    <t xml:space="preserve">Fongersplaats 94  9725LD Groningen </t>
  </si>
  <si>
    <t xml:space="preserve">Aluminiumstraat 21  9743SC Groningen </t>
  </si>
  <si>
    <t xml:space="preserve">Vlinderbalg 32  9746RT Groningen </t>
  </si>
  <si>
    <t xml:space="preserve">Friesestraatweg 253  9746TJ Groningen </t>
  </si>
  <si>
    <t xml:space="preserve">Riekele Prinsstraat 3  9744HL Groningen </t>
  </si>
  <si>
    <t xml:space="preserve">Geerpolderweg 18  2807LS Gouda </t>
  </si>
  <si>
    <t xml:space="preserve">Voorwillenseweg 157-b  2807CA Gouda </t>
  </si>
  <si>
    <t xml:space="preserve">Boelekade 44  2806AL Gouda </t>
  </si>
  <si>
    <t xml:space="preserve">Banstraat 14-1  1071JZ Amsterdam </t>
  </si>
  <si>
    <t xml:space="preserve">Batteryparkstraat 31  1031KH Amsterdam </t>
  </si>
  <si>
    <t xml:space="preserve">Radarweg (Bouwnr. 255 R)  1043NZ Amsterdam </t>
  </si>
  <si>
    <t xml:space="preserve">Spaklerweg 12-C18  1096BA Amsterdam </t>
  </si>
  <si>
    <t xml:space="preserve">Krijn Taconiskade 353  1087HW Amsterdam </t>
  </si>
  <si>
    <t xml:space="preserve">Zocherstraat 42-A  1054LZ Amsterdam </t>
  </si>
  <si>
    <t xml:space="preserve">H. Diesveldsingel 196  1060RL Amsterdam </t>
  </si>
  <si>
    <t xml:space="preserve">Willem Parelstraat 172  1018KZ Amsterdam </t>
  </si>
  <si>
    <t xml:space="preserve">Singel 299-H  1012WH Amsterdam </t>
  </si>
  <si>
    <t xml:space="preserve">Valeriusstraat 30-2  1071MJ Amsterdam </t>
  </si>
  <si>
    <t xml:space="preserve">ms. van Riemsdijkweg 182  1033RD Amsterdam </t>
  </si>
  <si>
    <t xml:space="preserve">Weena 201  3013AL Rotterdam </t>
  </si>
  <si>
    <t xml:space="preserve">Wilhelminakade 505  3072AP Rotterdam </t>
  </si>
  <si>
    <t xml:space="preserve">Wilhelminakade 251  3072AP Rotterdam </t>
  </si>
  <si>
    <t xml:space="preserve">Graaf Florisstraat 9-A  3021CA Rotterdam </t>
  </si>
  <si>
    <t xml:space="preserve">Scheepstimmermanslaan 35-A02  3016AE Rotterdam </t>
  </si>
  <si>
    <t xml:space="preserve">Hertekade 255  3011XV Rotterdam </t>
  </si>
  <si>
    <t xml:space="preserve">Van der Takstraat 91  3071LK Rotterdam </t>
  </si>
  <si>
    <t xml:space="preserve">Nico Koomanskade 99  3072LM Rotterdam </t>
  </si>
  <si>
    <t xml:space="preserve">Tandwielstraat 393  3083AV Rotterdam </t>
  </si>
  <si>
    <t xml:space="preserve">Boezemsingel 372  3034CD Rotterdam </t>
  </si>
  <si>
    <t xml:space="preserve">Burghsluissingel 144  3086VD Rotterdam </t>
  </si>
  <si>
    <t xml:space="preserve">Siersteenlaan 363  9743ER Groningen </t>
  </si>
  <si>
    <t xml:space="preserve">Friesestraatweg 141-265  9743AA Groningen </t>
  </si>
  <si>
    <t xml:space="preserve">Schorsmolenstraat 18  9723DZ Groningen </t>
  </si>
  <si>
    <t xml:space="preserve">Fongersplaats 126  9725LG Groningen </t>
  </si>
  <si>
    <t>Property name</t>
  </si>
  <si>
    <t>Funda Link</t>
  </si>
  <si>
    <t>s</t>
  </si>
  <si>
    <t>Link</t>
  </si>
  <si>
    <t>= AVERAGEIF(Sale Data, Region Filter, Sale Prices)</t>
  </si>
  <si>
    <t xml:space="preserve">Huispedia </t>
  </si>
  <si>
    <t>=(MAX(Recent Sales)-MIN(Recent Sales))/AVG(Recent Sales)*100%</t>
  </si>
  <si>
    <t>=(Final Sale Price / Listing Price) * 100%</t>
  </si>
  <si>
    <t>populariteit -  op funda</t>
  </si>
  <si>
    <t>=MEDIANIF(Sale Data, Region Filter, Days on Market)</t>
  </si>
  <si>
    <t>=COUNTIF(Active Listings, Region Filter)</t>
  </si>
  <si>
    <t>=COUNTIF(Transaction Data, Date Range Filter)</t>
  </si>
  <si>
    <t>huur filter  - €</t>
  </si>
  <si>
    <t>= AVERAGEIF(Rental Data, Region Filter, Rent Prices)</t>
  </si>
  <si>
    <t>=(Annual Rent / Market Price) * 100%</t>
  </si>
  <si>
    <t>=(Vacant Units / Total Units) * 100%</t>
  </si>
  <si>
    <t>= MEDIANIF(Rental Contracts, Region Filter, Lease Term in Months)</t>
  </si>
  <si>
    <t>=(Rent Growth % + Vacancy Rate Inverse) Normalized to 10</t>
  </si>
  <si>
    <t>=(Current Rent - Rent Last Year) / Rent Last Year * 100%</t>
  </si>
  <si>
    <t>=(This Yr AVG - Last Yr AVG)/Last Yr AVG * 100%</t>
  </si>
  <si>
    <t>= Market Price / Square Meters</t>
  </si>
  <si>
    <t>https://www.rabobank.com/knowledge/d011469462-dutch-housing-market-quarterly-even-higher-house-prices-and-more-house-sales-on-the-horizon</t>
  </si>
  <si>
    <t>= (Current - Last Year) / Last Year * 100%</t>
  </si>
  <si>
    <t>=(High Price - Low Price) / AVG Price</t>
  </si>
  <si>
    <t>= MEDIANIF(Sales Data, Region Filter, Days on Market)</t>
  </si>
  <si>
    <t>=(Transaction Volume + Price Stability) scaled to 10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</si>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</sst>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u/>
      <sz val="10"/>
      <color rgb="FF1155CC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theme="10"/>
      <name val="Arial"/>
      <scheme val="minor"/>
    </font>
    <font>
      <sz val="10"/>
      <color rgb="FF000000"/>
      <name val="Arial"/>
      <scheme val="minor"/>
    </font>
    <font>
      <b/>
      <sz val="11"/>
      <color theme="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9EAD3"/>
        <bgColor rgb="FFD9EAD3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1" fillId="2" borderId="0" xfId="0" applyFont="1" applyFill="1"/>
    <xf numFmtId="0" fontId="6" fillId="2" borderId="0" xfId="0" applyFont="1" applyFill="1"/>
    <xf numFmtId="0" fontId="9" fillId="3" borderId="0" xfId="0" applyFont="1" applyFill="1"/>
    <xf numFmtId="0" fontId="7" fillId="0" borderId="0" xfId="1" applyAlignment="1"/>
    <xf numFmtId="0" fontId="0" fillId="0" borderId="0" xfId="0" quotePrefix="1"/>
    <xf numFmtId="9" fontId="0" fillId="0" borderId="0" xfId="2" applyFont="1"/>
    <xf numFmtId="10" fontId="0" fillId="0" borderId="0" xfId="0" applyNumberFormat="1"/>
    <xf numFmtId="9" fontId="0" fillId="0" borderId="0" xfId="0" applyNumberFormat="1"/>
  </cellXfs>
  <cellStyles count="3">
    <cellStyle name="Hyperlink" xfId="1" builtinId="8"/>
    <cellStyle name="Normal" xfId="0" builtinId="0"/>
    <cellStyle name="Percent" xfId="2" builtinId="5"/>
  </cellStyles>
  <dxfs count="6"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</dxfs>
  <tableStyles count="2">
    <tableStyle name="Input Variables-style" pivot="0" count="3" xr9:uid="{00000000-0011-0000-FFFF-FFFF00000000}">
      <tableStyleElement type="headerRow" dxfId="5"/>
      <tableStyleElement type="firstRowStripe" dxfId="4"/>
      <tableStyleElement type="secondRowStripe" dxfId="3"/>
    </tableStyle>
    <tableStyle name="Input Variables-style 2" pivot="0" count="3" xr9:uid="{00000000-0011-0000-FFFF-FFFF01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funda.nl/detail/koop/amsterdam/appartement-mensinge-54/43835659/" TargetMode="External"/><Relationship Id="rId18" Type="http://schemas.openxmlformats.org/officeDocument/2006/relationships/hyperlink" Target="https://www.funda.nl/detail/koop/rotterdam/appartement-schiedamse-vest-65-b/43847452/" TargetMode="External"/><Relationship Id="rId26" Type="http://schemas.openxmlformats.org/officeDocument/2006/relationships/hyperlink" Target="https://www.funda.nl/detail/koop/groningen/appartement-gorechtkade-1-25/43714523/" TargetMode="External"/><Relationship Id="rId39" Type="http://schemas.openxmlformats.org/officeDocument/2006/relationships/hyperlink" Target="https://www.funda.nl/detail/huur/amsterdam/appartement-radarweg-0-ong/43890961/" TargetMode="External"/><Relationship Id="rId21" Type="http://schemas.openxmlformats.org/officeDocument/2006/relationships/hyperlink" Target="https://www.funda.nl/detail/koop/rotterdam/appartement-mariniersweg-82-e/43866142/" TargetMode="External"/><Relationship Id="rId34" Type="http://schemas.openxmlformats.org/officeDocument/2006/relationships/hyperlink" Target="https://www.funda.nl/detail/koop/gouda/huis-geerpolderweg-18/43840737/" TargetMode="External"/><Relationship Id="rId42" Type="http://schemas.openxmlformats.org/officeDocument/2006/relationships/hyperlink" Target="https://www.funda.nl/detail/huur/amsterdam/appartement-zocherstraat-42-a/43837290/" TargetMode="External"/><Relationship Id="rId47" Type="http://schemas.openxmlformats.org/officeDocument/2006/relationships/hyperlink" Target="https://www.funda.nl/detail/huur/amsterdam/appartement-ms-van-riemsdijkweg-182/43829820/" TargetMode="External"/><Relationship Id="rId50" Type="http://schemas.openxmlformats.org/officeDocument/2006/relationships/hyperlink" Target="https://www.funda.nl/detail/huur/rotterdam/appartement-wilhelminakade-251/43845720/" TargetMode="External"/><Relationship Id="rId55" Type="http://schemas.openxmlformats.org/officeDocument/2006/relationships/hyperlink" Target="https://www.funda.nl/detail/huur/rotterdam/appartement-nico-koomanskade-99/43878001/" TargetMode="External"/><Relationship Id="rId63" Type="http://schemas.openxmlformats.org/officeDocument/2006/relationships/hyperlink" Target="https://www.funda.nl/detail/huur/groningen/appartement-prinsenstraat-13/43834626/" TargetMode="External"/><Relationship Id="rId7" Type="http://schemas.openxmlformats.org/officeDocument/2006/relationships/hyperlink" Target="https://www.funda.nl/detail/koop/amsterdam/appartement-spot-amsterdam-crystal-0-ong/42747113/" TargetMode="External"/><Relationship Id="rId2" Type="http://schemas.openxmlformats.org/officeDocument/2006/relationships/hyperlink" Target="https://www.funda.nl/detail/koop/amsterdam/appartement-gouden-leeuw-327/43822954/" TargetMode="External"/><Relationship Id="rId16" Type="http://schemas.openxmlformats.org/officeDocument/2006/relationships/hyperlink" Target="https://www.funda.nl/detail/koop/rotterdam/appartement-saftlevenstraat-40-c/43832555/" TargetMode="External"/><Relationship Id="rId29" Type="http://schemas.openxmlformats.org/officeDocument/2006/relationships/hyperlink" Target="https://www.funda.nl/detail/koop/groningen/appartement-fongersplaats-94/43860149/" TargetMode="External"/><Relationship Id="rId11" Type="http://schemas.openxmlformats.org/officeDocument/2006/relationships/hyperlink" Target="https://www.funda.nl/detail/koop/amsterdam/appartement-spreeuwenpark-9-d/43824611/" TargetMode="External"/><Relationship Id="rId24" Type="http://schemas.openxmlformats.org/officeDocument/2006/relationships/hyperlink" Target="https://www.funda.nl/detail/koop/rotterdam/appartement-eendrachtsweg-40-a/43760136/" TargetMode="External"/><Relationship Id="rId32" Type="http://schemas.openxmlformats.org/officeDocument/2006/relationships/hyperlink" Target="https://www.funda.nl/detail/koop/groningen/huis-friesestraatweg-253/43846025/" TargetMode="External"/><Relationship Id="rId37" Type="http://schemas.openxmlformats.org/officeDocument/2006/relationships/hyperlink" Target="https://www.funda.nl/detail/koop/amsterdam/appartement-banstraat-14-1/43885487/" TargetMode="External"/><Relationship Id="rId40" Type="http://schemas.openxmlformats.org/officeDocument/2006/relationships/hyperlink" Target="https://www.funda.nl/detail/huur/amsterdam/appartement-spaklerweg-12-c18/43802329/" TargetMode="External"/><Relationship Id="rId45" Type="http://schemas.openxmlformats.org/officeDocument/2006/relationships/hyperlink" Target="https://www.funda.nl/detail/huur/amsterdam/appartement-singel-299-h/43821013/" TargetMode="External"/><Relationship Id="rId53" Type="http://schemas.openxmlformats.org/officeDocument/2006/relationships/hyperlink" Target="https://www.funda.nl/detail/huur/rotterdam/appartement-hertekade-255/43816050/" TargetMode="External"/><Relationship Id="rId58" Type="http://schemas.openxmlformats.org/officeDocument/2006/relationships/hyperlink" Target="https://www.funda.nl/detail/huur/rotterdam/appartement-burghsluissingel-144/43746403/" TargetMode="External"/><Relationship Id="rId5" Type="http://schemas.openxmlformats.org/officeDocument/2006/relationships/hyperlink" Target="https://www.funda.nl/detail/koop/amsterdam/huis-kelbergen-54/43827553/" TargetMode="External"/><Relationship Id="rId61" Type="http://schemas.openxmlformats.org/officeDocument/2006/relationships/hyperlink" Target="https://www.funda.nl/detail/huur/groningen/huis-schorsmolenstraat-18/43834647/" TargetMode="External"/><Relationship Id="rId19" Type="http://schemas.openxmlformats.org/officeDocument/2006/relationships/hyperlink" Target="https://www.funda.nl/detail/koop/rotterdam/appartement-botersloot-393/43845550/" TargetMode="External"/><Relationship Id="rId14" Type="http://schemas.openxmlformats.org/officeDocument/2006/relationships/hyperlink" Target="https://www.funda.nl/detail/koop/amsterdam/appartement-elements-parc-twin-loft-0-ong/43597519/" TargetMode="External"/><Relationship Id="rId22" Type="http://schemas.openxmlformats.org/officeDocument/2006/relationships/hyperlink" Target="https://www.funda.nl/detail/koop/rotterdam/appartement-breitnerstraat-64-b/43832169/" TargetMode="External"/><Relationship Id="rId27" Type="http://schemas.openxmlformats.org/officeDocument/2006/relationships/hyperlink" Target="https://www.funda.nl/detail/koop/groningen/huis-mauritsdwarsstraat-17/43840598/" TargetMode="External"/><Relationship Id="rId30" Type="http://schemas.openxmlformats.org/officeDocument/2006/relationships/hyperlink" Target="https://www.funda.nl/detail/koop/groningen/huis-aluminiumstraat-21/43841498/" TargetMode="External"/><Relationship Id="rId35" Type="http://schemas.openxmlformats.org/officeDocument/2006/relationships/hyperlink" Target="https://www.funda.nl/detail/koop/gouda/huis-voorwillenseweg-157-b/43834758/" TargetMode="External"/><Relationship Id="rId43" Type="http://schemas.openxmlformats.org/officeDocument/2006/relationships/hyperlink" Target="https://www.funda.nl/detail/koop/amsterdam/appartement-h-diesveldsingel-196/43811798/" TargetMode="External"/><Relationship Id="rId48" Type="http://schemas.openxmlformats.org/officeDocument/2006/relationships/hyperlink" Target="https://www.funda.nl/detail/koop/rotterdam/appartement-weena-201/43690120/" TargetMode="External"/><Relationship Id="rId56" Type="http://schemas.openxmlformats.org/officeDocument/2006/relationships/hyperlink" Target="https://www.funda.nl/detail/huur/rotterdam/appartement-tandwielstraat-393/43834560/" TargetMode="External"/><Relationship Id="rId8" Type="http://schemas.openxmlformats.org/officeDocument/2006/relationships/hyperlink" Target="https://www.funda.nl/detail/koop/amsterdam/appartement-van-ostadestraat-55-3/42137568/" TargetMode="External"/><Relationship Id="rId51" Type="http://schemas.openxmlformats.org/officeDocument/2006/relationships/hyperlink" Target="https://www.funda.nl/detail/huur/rotterdam/appartement-graaf-florisstraat-9-a/43812758/" TargetMode="External"/><Relationship Id="rId3" Type="http://schemas.openxmlformats.org/officeDocument/2006/relationships/hyperlink" Target="https://www.funda.nl/detail/koop/amsterdam/appartement-bezaanjachtplein-25/43820707/" TargetMode="External"/><Relationship Id="rId12" Type="http://schemas.openxmlformats.org/officeDocument/2006/relationships/hyperlink" Target="https://www.funda.nl/detail/koop/amsterdam/appartement-stadhouderskade-20-g/43840062/" TargetMode="External"/><Relationship Id="rId17" Type="http://schemas.openxmlformats.org/officeDocument/2006/relationships/hyperlink" Target="https://www.funda.nl/detail/koop/rotterdam/appartement-coolhaven-207/43847618/" TargetMode="External"/><Relationship Id="rId25" Type="http://schemas.openxmlformats.org/officeDocument/2006/relationships/hyperlink" Target="https://www.funda.nl/detail/koop/groningen/appartement-van-heemskerckstraat-67-a/43841403/" TargetMode="External"/><Relationship Id="rId33" Type="http://schemas.openxmlformats.org/officeDocument/2006/relationships/hyperlink" Target="https://www.funda.nl/detail/koop/groningen/huis-riekele-prinsstraat-3/43802046/" TargetMode="External"/><Relationship Id="rId38" Type="http://schemas.openxmlformats.org/officeDocument/2006/relationships/hyperlink" Target="https://www.funda.nl/detail/huur/amsterdam/appartement-batteryparkstraat-31/43826514/" TargetMode="External"/><Relationship Id="rId46" Type="http://schemas.openxmlformats.org/officeDocument/2006/relationships/hyperlink" Target="https://www.funda.nl/detail/huur/amsterdam/appartement-valeriusstraat-30-2/43824609/" TargetMode="External"/><Relationship Id="rId59" Type="http://schemas.openxmlformats.org/officeDocument/2006/relationships/hyperlink" Target="https://www.funda.nl/detail/huur/groningen/appartement-siersteenlaan-363/43849800/" TargetMode="External"/><Relationship Id="rId20" Type="http://schemas.openxmlformats.org/officeDocument/2006/relationships/hyperlink" Target="https://www.funda.nl/detail/koop/rotterdam/appartement-scheepstimmermanslaan-21-b02/43872048/" TargetMode="External"/><Relationship Id="rId41" Type="http://schemas.openxmlformats.org/officeDocument/2006/relationships/hyperlink" Target="https://www.funda.nl/detail/huur/amsterdam/appartement-krijn-taconiskade-353/43846909/" TargetMode="External"/><Relationship Id="rId54" Type="http://schemas.openxmlformats.org/officeDocument/2006/relationships/hyperlink" Target="https://www.funda.nl/detail/huur/rotterdam/appartement-van-der-takstraat-91/43884652/" TargetMode="External"/><Relationship Id="rId62" Type="http://schemas.openxmlformats.org/officeDocument/2006/relationships/hyperlink" Target="https://www.funda.nl/detail/huur/groningen/appartement-fongersplaats-126/43846160/" TargetMode="External"/><Relationship Id="rId1" Type="http://schemas.openxmlformats.org/officeDocument/2006/relationships/hyperlink" Target="https://www.funda.nl/detail/koop/amsterdam/appartement-bos-en-lommerplantsoen-99-l/43832980/" TargetMode="External"/><Relationship Id="rId6" Type="http://schemas.openxmlformats.org/officeDocument/2006/relationships/hyperlink" Target="https://www.funda.nl/detail/koop/amsterdam/huis-marianellastraat-55/43893565/" TargetMode="External"/><Relationship Id="rId15" Type="http://schemas.openxmlformats.org/officeDocument/2006/relationships/hyperlink" Target="https://www.funda.nl/detail/koop/amsterdam/appartement-overtoom-495-2/43835149/" TargetMode="External"/><Relationship Id="rId23" Type="http://schemas.openxmlformats.org/officeDocument/2006/relationships/hyperlink" Target="https://www.funda.nl/detail/koop/rotterdam/appartement-willemsplein-519/43414502/" TargetMode="External"/><Relationship Id="rId28" Type="http://schemas.openxmlformats.org/officeDocument/2006/relationships/hyperlink" Target="https://www.funda.nl/detail/koop/groningen/huis-galkemaheerd-41/43818562/" TargetMode="External"/><Relationship Id="rId36" Type="http://schemas.openxmlformats.org/officeDocument/2006/relationships/hyperlink" Target="https://www.funda.nl/detail/koop/gouda/appartement-boelekade-44/43832969/" TargetMode="External"/><Relationship Id="rId49" Type="http://schemas.openxmlformats.org/officeDocument/2006/relationships/hyperlink" Target="https://www.funda.nl/detail/huur/rotterdam/appartement-wilhelminakade-505/43895107/" TargetMode="External"/><Relationship Id="rId57" Type="http://schemas.openxmlformats.org/officeDocument/2006/relationships/hyperlink" Target="https://www.funda.nl/detail/huur/rotterdam/appartement-boezemsingel-372/43860638/" TargetMode="External"/><Relationship Id="rId10" Type="http://schemas.openxmlformats.org/officeDocument/2006/relationships/hyperlink" Target="https://www.funda.nl/detail/koop/amsterdam/appartement-vrijzicht-57/43898254/" TargetMode="External"/><Relationship Id="rId31" Type="http://schemas.openxmlformats.org/officeDocument/2006/relationships/hyperlink" Target="https://www.funda.nl/detail/koop/groningen/huis-vlinderbalg-32/43840511/" TargetMode="External"/><Relationship Id="rId44" Type="http://schemas.openxmlformats.org/officeDocument/2006/relationships/hyperlink" Target="https://www.funda.nl/detail/huur/amsterdam/appartement-willem-parelstraat-172/43834399/" TargetMode="External"/><Relationship Id="rId52" Type="http://schemas.openxmlformats.org/officeDocument/2006/relationships/hyperlink" Target="https://www.funda.nl/detail/huur/rotterdam/appartement-scheepstimmermanslaan-35-a02/43851722/" TargetMode="External"/><Relationship Id="rId60" Type="http://schemas.openxmlformats.org/officeDocument/2006/relationships/hyperlink" Target="https://www.funda.nl/detail/huur/groningen/appartement-friesestraatweg-141-265/43840282/" TargetMode="External"/><Relationship Id="rId4" Type="http://schemas.openxmlformats.org/officeDocument/2006/relationships/hyperlink" Target="https://www.funda.nl/detail/koop/amsterdam/appartement-charlotte-brontestraat-305/43810285/" TargetMode="External"/><Relationship Id="rId9" Type="http://schemas.openxmlformats.org/officeDocument/2006/relationships/hyperlink" Target="https://www.funda.nl/detail/koop/amsterdam/appartement-sloterkade-75-1/43833258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unda.nl/detail/huur/amsterdam/appartement-batteryparkstraat-31/89280150/" TargetMode="External"/><Relationship Id="rId2" Type="http://schemas.openxmlformats.org/officeDocument/2006/relationships/hyperlink" Target="https://www.rabobank.com/knowledge/d011469462-dutch-housing-market-quarterly-even-higher-house-prices-and-more-house-sales-on-the-horizon" TargetMode="External"/><Relationship Id="rId1" Type="http://schemas.openxmlformats.org/officeDocument/2006/relationships/hyperlink" Target="https://huispedia.nl/amsterdam/batteryparkstraa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outlinePr summaryBelow="0" summaryRight="0"/>
  </sheetPr>
  <dimension ref="A1:S64"/>
  <sheetViews>
    <sheetView tabSelected="1" workbookViewId="0">
      <selection sqref="A1:XFD1"/>
    </sheetView>
  </sheetViews>
  <sheetFormatPr defaultColWidth="12.5703125" defaultRowHeight="15.75" customHeight="1" x14ac:dyDescent="0.2"/>
  <cols>
    <col min="1" max="1" width="40" customWidth="1"/>
    <col min="2" max="2" width="47.5703125" customWidth="1"/>
  </cols>
  <sheetData>
    <row r="1" spans="1:3" ht="12.75" x14ac:dyDescent="0.2">
      <c r="A1" s="1" t="s">
        <v>200</v>
      </c>
      <c r="B1" s="1" t="s">
        <v>201</v>
      </c>
      <c r="C1" t="s">
        <v>203</v>
      </c>
    </row>
    <row r="2" spans="1:3" ht="12.75" x14ac:dyDescent="0.2">
      <c r="A2" s="3" t="str">
        <f t="shared" ref="A2:A64" si="0">B2</f>
        <v xml:space="preserve">Bos en Lommerplantsoen 99-L  1055AA Amsterdam </v>
      </c>
      <c r="B2" s="4" t="s">
        <v>138</v>
      </c>
      <c r="C2" t="str" cm="1">
        <f t="array" ref="C2">URL(B2)</f>
        <v>https://www.funda.nl/detail/koop/amsterdam/appartement-bos-en-lommerplantsoen-99-l/43832980/</v>
      </c>
    </row>
    <row r="3" spans="1:3" ht="12.75" x14ac:dyDescent="0.2">
      <c r="A3" s="3" t="str">
        <f t="shared" si="0"/>
        <v xml:space="preserve">Gouden Leeuw 327  1103KG Amsterdam </v>
      </c>
      <c r="B3" s="4" t="s">
        <v>139</v>
      </c>
      <c r="C3" t="str" cm="1">
        <f t="array" ref="C3">URL(B3)</f>
        <v>https://www.funda.nl/detail/koop/amsterdam/appartement-gouden-leeuw-327/43822954/</v>
      </c>
    </row>
    <row r="4" spans="1:3" ht="15.75" customHeight="1" x14ac:dyDescent="0.2">
      <c r="A4" s="3" t="str">
        <f t="shared" si="0"/>
        <v xml:space="preserve">Bezaanjachtplein 25  1034CR Amsterdam </v>
      </c>
      <c r="B4" s="4" t="s">
        <v>140</v>
      </c>
      <c r="C4" t="str" cm="1">
        <f t="array" ref="C4">URL(B4)</f>
        <v>https://www.funda.nl/detail/koop/amsterdam/appartement-bezaanjachtplein-25/43820707/</v>
      </c>
    </row>
    <row r="5" spans="1:3" ht="15.75" customHeight="1" x14ac:dyDescent="0.2">
      <c r="A5" s="3" t="str">
        <f t="shared" si="0"/>
        <v xml:space="preserve">Charlotte Brontéstraat 305  1102XD Amsterdam </v>
      </c>
      <c r="B5" s="4" t="s">
        <v>141</v>
      </c>
      <c r="C5" t="str" cm="1">
        <f t="array" ref="C5">URL(B5)</f>
        <v>https://www.funda.nl/detail/koop/amsterdam/appartement-charlotte-brontestraat-305/43810285/</v>
      </c>
    </row>
    <row r="6" spans="1:3" ht="15.75" customHeight="1" x14ac:dyDescent="0.2">
      <c r="A6" s="3" t="str">
        <f t="shared" si="0"/>
        <v xml:space="preserve">Kelbergen 54  1104LC Amsterdam </v>
      </c>
      <c r="B6" s="4" t="s">
        <v>142</v>
      </c>
      <c r="C6" t="str" cm="1">
        <f t="array" ref="C6">URL(B6)</f>
        <v>https://www.funda.nl/detail/koop/amsterdam/huis-kelbergen-54/43827553/</v>
      </c>
    </row>
    <row r="7" spans="1:3" ht="15.75" customHeight="1" x14ac:dyDescent="0.2">
      <c r="A7" s="3" t="str">
        <f t="shared" si="0"/>
        <v xml:space="preserve">Marianellastraat 55  1069NM Amsterdam </v>
      </c>
      <c r="B7" s="4" t="s">
        <v>143</v>
      </c>
      <c r="C7" t="str" cm="1">
        <f t="array" ref="C7">URL(B7)</f>
        <v>https://www.funda.nl/detail/koop/amsterdam/huis-marianellastraat-55/43893565/</v>
      </c>
    </row>
    <row r="8" spans="1:3" ht="15.75" customHeight="1" x14ac:dyDescent="0.2">
      <c r="A8" s="3" t="str">
        <f t="shared" si="0"/>
        <v xml:space="preserve">SPOT Amsterdam | Crystal (Bouwnr. 39)  1101DA Amsterdam </v>
      </c>
      <c r="B8" s="4" t="s">
        <v>144</v>
      </c>
      <c r="C8" t="str" cm="1">
        <f t="array" ref="C8">URL(B8)</f>
        <v>https://www.funda.nl/detail/koop/amsterdam/appartement-spot-amsterdam-crystal-0-ong/42747113/</v>
      </c>
    </row>
    <row r="9" spans="1:3" ht="15.75" customHeight="1" x14ac:dyDescent="0.2">
      <c r="A9" s="3" t="str">
        <f t="shared" si="0"/>
        <v xml:space="preserve">Van Ostadestraat 55-3  1072SN Amsterdam </v>
      </c>
      <c r="B9" s="4" t="s">
        <v>145</v>
      </c>
      <c r="C9" t="str" cm="1">
        <f t="array" ref="C9">URL(B9)</f>
        <v>https://www.funda.nl/detail/koop/amsterdam/appartement-van-ostadestraat-55-3/42137568/</v>
      </c>
    </row>
    <row r="10" spans="1:3" ht="15.75" customHeight="1" x14ac:dyDescent="0.2">
      <c r="A10" s="3" t="str">
        <f t="shared" si="0"/>
        <v xml:space="preserve">Sloterkade 75-1  1058HH Amsterdam </v>
      </c>
      <c r="B10" s="4" t="s">
        <v>146</v>
      </c>
      <c r="C10" t="str" cm="1">
        <f t="array" ref="C10">URL(B10)</f>
        <v>https://www.funda.nl/detail/koop/amsterdam/appartement-sloterkade-75-1/43833258/</v>
      </c>
    </row>
    <row r="11" spans="1:3" ht="15.75" customHeight="1" x14ac:dyDescent="0.2">
      <c r="A11" s="3" t="str">
        <f t="shared" si="0"/>
        <v xml:space="preserve">Vrijzicht 57  1068CE Amsterdam </v>
      </c>
      <c r="B11" s="4" t="s">
        <v>147</v>
      </c>
      <c r="C11" t="str" cm="1">
        <f t="array" ref="C11">URL(B11)</f>
        <v>https://www.funda.nl/detail/koop/amsterdam/appartement-vrijzicht-57/43898254/</v>
      </c>
    </row>
    <row r="12" spans="1:3" ht="12.75" x14ac:dyDescent="0.2">
      <c r="A12" s="3" t="str">
        <f t="shared" si="0"/>
        <v xml:space="preserve">Spreeuwenpark 9-D  1021GS Amsterdam </v>
      </c>
      <c r="B12" s="4" t="s">
        <v>148</v>
      </c>
      <c r="C12" t="str" cm="1">
        <f t="array" ref="C12">URL(B12)</f>
        <v>https://www.funda.nl/detail/koop/amsterdam/appartement-spreeuwenpark-9-d/43824611/</v>
      </c>
    </row>
    <row r="13" spans="1:3" ht="12.75" x14ac:dyDescent="0.2">
      <c r="A13" s="3" t="str">
        <f t="shared" si="0"/>
        <v xml:space="preserve">Stadhouderskade 20-G  1054ES Amsterdam </v>
      </c>
      <c r="B13" s="4" t="s">
        <v>149</v>
      </c>
      <c r="C13" t="str" cm="1">
        <f t="array" ref="C13">URL(B13)</f>
        <v>https://www.funda.nl/detail/koop/amsterdam/appartement-stadhouderskade-20-g/43840062/</v>
      </c>
    </row>
    <row r="14" spans="1:3" ht="12.75" x14ac:dyDescent="0.2">
      <c r="A14" s="3" t="str">
        <f t="shared" si="0"/>
        <v xml:space="preserve">Mensinge 54  1083HE Amsterdam </v>
      </c>
      <c r="B14" s="4" t="s">
        <v>150</v>
      </c>
      <c r="C14" t="str" cm="1">
        <f t="array" ref="C14">URL(B14)</f>
        <v>https://www.funda.nl/detail/koop/amsterdam/appartement-mensinge-54/43835659/</v>
      </c>
    </row>
    <row r="15" spans="1:3" ht="12.75" x14ac:dyDescent="0.2">
      <c r="A15" s="3" t="str">
        <f t="shared" si="0"/>
        <v xml:space="preserve">Elements | Parc Twin loft (Bouwnr. P 2.8)  1096AC Amsterdam </v>
      </c>
      <c r="B15" s="4" t="s">
        <v>151</v>
      </c>
      <c r="C15" t="str" cm="1">
        <f t="array" ref="C15">URL(B15)</f>
        <v>https://www.funda.nl/detail/koop/amsterdam/appartement-elements-parc-twin-loft-0-ong/43597519/</v>
      </c>
    </row>
    <row r="16" spans="1:3" ht="12.75" x14ac:dyDescent="0.2">
      <c r="A16" s="3" t="str">
        <f t="shared" si="0"/>
        <v xml:space="preserve">Overtoom 495-2  1054LG Amsterdam </v>
      </c>
      <c r="B16" s="4" t="s">
        <v>152</v>
      </c>
      <c r="C16" t="str" cm="1">
        <f t="array" ref="C16">URL(B16)</f>
        <v>https://www.funda.nl/detail/koop/amsterdam/appartement-overtoom-495-2/43835149/</v>
      </c>
    </row>
    <row r="17" spans="1:3" ht="12.75" x14ac:dyDescent="0.2">
      <c r="A17" s="3" t="str">
        <f t="shared" si="0"/>
        <v xml:space="preserve">Saftlevenstraat 40-C  3015BR Rotterdam </v>
      </c>
      <c r="B17" s="4" t="s">
        <v>153</v>
      </c>
      <c r="C17" t="str" cm="1">
        <f t="array" ref="C17">URL(B17)</f>
        <v>https://www.funda.nl/detail/koop/rotterdam/appartement-saftlevenstraat-40-c/43832555/</v>
      </c>
    </row>
    <row r="18" spans="1:3" ht="12.75" x14ac:dyDescent="0.2">
      <c r="A18" s="3" t="str">
        <f t="shared" si="0"/>
        <v xml:space="preserve">Coolhaven 207  3015GC Rotterdam </v>
      </c>
      <c r="B18" s="4" t="s">
        <v>154</v>
      </c>
      <c r="C18" t="str" cm="1">
        <f t="array" ref="C18">URL(B18)</f>
        <v>https://www.funda.nl/detail/koop/rotterdam/appartement-coolhaven-207/43847618/</v>
      </c>
    </row>
    <row r="19" spans="1:3" ht="12.75" x14ac:dyDescent="0.2">
      <c r="A19" s="3" t="str">
        <f t="shared" si="0"/>
        <v xml:space="preserve">Schiedamse Vest 65-B  3012BE Rotterdam </v>
      </c>
      <c r="B19" s="4" t="s">
        <v>155</v>
      </c>
      <c r="C19" t="str" cm="1">
        <f t="array" ref="C19">URL(B19)</f>
        <v>https://www.funda.nl/detail/koop/rotterdam/appartement-schiedamse-vest-65-b/43847452/</v>
      </c>
    </row>
    <row r="20" spans="1:3" ht="12.75" x14ac:dyDescent="0.2">
      <c r="A20" s="3" t="str">
        <f t="shared" si="0"/>
        <v xml:space="preserve">Botersloot 393  3011HE Rotterdam </v>
      </c>
      <c r="B20" s="4" t="s">
        <v>156</v>
      </c>
      <c r="C20" t="str" cm="1">
        <f t="array" ref="C20">URL(B20)</f>
        <v>https://www.funda.nl/detail/koop/rotterdam/appartement-botersloot-393/43845550/</v>
      </c>
    </row>
    <row r="21" spans="1:3" ht="12.75" x14ac:dyDescent="0.2">
      <c r="A21" s="3" t="str">
        <f t="shared" si="0"/>
        <v xml:space="preserve">Scheepstimmermanslaan 21-B02  3016AD Rotterdam </v>
      </c>
      <c r="B21" s="4" t="s">
        <v>157</v>
      </c>
      <c r="C21" t="str" cm="1">
        <f t="array" ref="C21">URL(B21)</f>
        <v>https://www.funda.nl/detail/koop/rotterdam/appartement-scheepstimmermanslaan-21-b02/43872048/</v>
      </c>
    </row>
    <row r="22" spans="1:3" ht="12.75" x14ac:dyDescent="0.2">
      <c r="A22" s="3" t="str">
        <f t="shared" si="0"/>
        <v xml:space="preserve">Mariniersweg 82-E  3011NT Rotterdam </v>
      </c>
      <c r="B22" s="4" t="s">
        <v>158</v>
      </c>
      <c r="C22" t="str" cm="1">
        <f t="array" ref="C22">URL(B22)</f>
        <v>https://www.funda.nl/detail/koop/rotterdam/appartement-mariniersweg-82-e/43866142/</v>
      </c>
    </row>
    <row r="23" spans="1:3" ht="12.75" x14ac:dyDescent="0.2">
      <c r="A23" s="3" t="str">
        <f t="shared" si="0"/>
        <v xml:space="preserve">Breitnerstraat 64-B  3015XJ Rotterdam </v>
      </c>
      <c r="B23" s="4" t="s">
        <v>159</v>
      </c>
      <c r="C23" t="str" cm="1">
        <f t="array" ref="C23">URL(B23)</f>
        <v>https://www.funda.nl/detail/koop/rotterdam/appartement-breitnerstraat-64-b/43832169/</v>
      </c>
    </row>
    <row r="24" spans="1:3" ht="12.75" x14ac:dyDescent="0.2">
      <c r="A24" s="3" t="str">
        <f t="shared" si="0"/>
        <v xml:space="preserve">Willemsplein 519  3016DR Rotterdam </v>
      </c>
      <c r="B24" s="4" t="s">
        <v>160</v>
      </c>
      <c r="C24" t="str" cm="1">
        <f t="array" ref="C24">URL(B24)</f>
        <v>https://www.funda.nl/detail/koop/rotterdam/appartement-willemsplein-519/43414502/</v>
      </c>
    </row>
    <row r="25" spans="1:3" ht="12.75" x14ac:dyDescent="0.2">
      <c r="A25" s="3" t="str">
        <f t="shared" si="0"/>
        <v xml:space="preserve">Eendrachtsweg 40-A  3012LD Rotterdam </v>
      </c>
      <c r="B25" s="4" t="s">
        <v>161</v>
      </c>
      <c r="C25" t="str" cm="1">
        <f t="array" ref="C25">URL(B25)</f>
        <v>https://www.funda.nl/detail/koop/rotterdam/appartement-eendrachtsweg-40-a/43760136/</v>
      </c>
    </row>
    <row r="26" spans="1:3" ht="12.75" x14ac:dyDescent="0.2">
      <c r="A26" s="3" t="str">
        <f t="shared" si="0"/>
        <v xml:space="preserve">Van Heemskerckstraat 67-a  9726GH Groningen </v>
      </c>
      <c r="B26" s="4" t="s">
        <v>162</v>
      </c>
      <c r="C26" t="str" cm="1">
        <f t="array" ref="C26">URL(B26)</f>
        <v>https://www.funda.nl/detail/koop/groningen/appartement-van-heemskerckstraat-67-a/43841403/</v>
      </c>
    </row>
    <row r="27" spans="1:3" ht="12.75" x14ac:dyDescent="0.2">
      <c r="A27" s="3" t="str">
        <f t="shared" si="0"/>
        <v xml:space="preserve">Gorechtkade 1-25  9713BA Groningen </v>
      </c>
      <c r="B27" s="4" t="s">
        <v>163</v>
      </c>
      <c r="C27" t="str" cm="1">
        <f t="array" ref="C27">URL(B27)</f>
        <v>https://www.funda.nl/detail/koop/groningen/appartement-gorechtkade-1-25/43714523/</v>
      </c>
    </row>
    <row r="28" spans="1:3" ht="12.75" x14ac:dyDescent="0.2">
      <c r="A28" s="3" t="str">
        <f t="shared" si="0"/>
        <v xml:space="preserve">Mauritsdwarsstraat 17  9724BN Groningen </v>
      </c>
      <c r="B28" s="4" t="s">
        <v>164</v>
      </c>
      <c r="C28" t="str" cm="1">
        <f t="array" ref="C28">URL(B28)</f>
        <v>https://www.funda.nl/detail/koop/groningen/huis-mauritsdwarsstraat-17/43840598/</v>
      </c>
    </row>
    <row r="29" spans="1:3" ht="12.75" x14ac:dyDescent="0.2">
      <c r="A29" s="3" t="str">
        <f t="shared" si="0"/>
        <v xml:space="preserve">Galkemaheerd 41  9736BE Groningen </v>
      </c>
      <c r="B29" s="4" t="s">
        <v>165</v>
      </c>
      <c r="C29" t="str" cm="1">
        <f t="array" ref="C29">URL(B29)</f>
        <v>https://www.funda.nl/detail/koop/groningen/huis-galkemaheerd-41/43818562/</v>
      </c>
    </row>
    <row r="30" spans="1:3" ht="12.75" x14ac:dyDescent="0.2">
      <c r="A30" s="3" t="str">
        <f t="shared" si="0"/>
        <v xml:space="preserve">Fongersplaats 94  9725LD Groningen </v>
      </c>
      <c r="B30" s="4" t="s">
        <v>166</v>
      </c>
      <c r="C30" t="str" cm="1">
        <f t="array" ref="C30">URL(B30)</f>
        <v>https://www.funda.nl/detail/koop/groningen/appartement-fongersplaats-94/43860149/</v>
      </c>
    </row>
    <row r="31" spans="1:3" ht="12.75" x14ac:dyDescent="0.2">
      <c r="A31" s="3" t="str">
        <f t="shared" si="0"/>
        <v xml:space="preserve">Aluminiumstraat 21  9743SC Groningen </v>
      </c>
      <c r="B31" s="4" t="s">
        <v>167</v>
      </c>
      <c r="C31" t="str" cm="1">
        <f t="array" ref="C31">URL(B31)</f>
        <v>https://www.funda.nl/detail/koop/groningen/huis-aluminiumstraat-21/43841498/</v>
      </c>
    </row>
    <row r="32" spans="1:3" ht="12.75" x14ac:dyDescent="0.2">
      <c r="A32" s="3" t="str">
        <f t="shared" si="0"/>
        <v xml:space="preserve">Vlinderbalg 32  9746RT Groningen </v>
      </c>
      <c r="B32" s="4" t="s">
        <v>168</v>
      </c>
      <c r="C32" t="str" cm="1">
        <f t="array" ref="C32">URL(B32)</f>
        <v>https://www.funda.nl/detail/koop/groningen/huis-vlinderbalg-32/43840511/</v>
      </c>
    </row>
    <row r="33" spans="1:19" ht="12.75" x14ac:dyDescent="0.2">
      <c r="A33" s="3" t="str">
        <f t="shared" si="0"/>
        <v xml:space="preserve">Friesestraatweg 253  9746TJ Groningen </v>
      </c>
      <c r="B33" s="4" t="s">
        <v>169</v>
      </c>
      <c r="C33" t="str" cm="1">
        <f t="array" ref="C33">URL(B33)</f>
        <v>https://www.funda.nl/detail/koop/groningen/huis-friesestraatweg-253/43846025/</v>
      </c>
    </row>
    <row r="34" spans="1:19" ht="12.75" x14ac:dyDescent="0.2">
      <c r="A34" s="3" t="str">
        <f t="shared" si="0"/>
        <v xml:space="preserve">Riekele Prinsstraat 3  9744HL Groningen </v>
      </c>
      <c r="B34" s="4" t="s">
        <v>170</v>
      </c>
      <c r="C34" t="str" cm="1">
        <f t="array" ref="C34">URL(B34)</f>
        <v>https://www.funda.nl/detail/koop/groningen/huis-riekele-prinsstraat-3/43802046/</v>
      </c>
    </row>
    <row r="35" spans="1:19" ht="12.75" x14ac:dyDescent="0.2">
      <c r="A35" s="3" t="str">
        <f t="shared" si="0"/>
        <v xml:space="preserve">Geerpolderweg 18  2807LS Gouda </v>
      </c>
      <c r="B35" s="4" t="s">
        <v>171</v>
      </c>
      <c r="C35" t="str" cm="1">
        <f t="array" ref="C35">URL(B35)</f>
        <v>https://www.funda.nl/detail/koop/gouda/huis-geerpolderweg-18/43840737/</v>
      </c>
    </row>
    <row r="36" spans="1:19" ht="12.75" x14ac:dyDescent="0.2">
      <c r="A36" s="3" t="str">
        <f t="shared" si="0"/>
        <v xml:space="preserve">Voorwillenseweg 157-b  2807CA Gouda </v>
      </c>
      <c r="B36" s="4" t="s">
        <v>172</v>
      </c>
      <c r="C36" t="str" cm="1">
        <f t="array" ref="C36">URL(B36)</f>
        <v>https://www.funda.nl/detail/koop/gouda/huis-voorwillenseweg-157-b/43834758/</v>
      </c>
    </row>
    <row r="37" spans="1:19" ht="12.75" x14ac:dyDescent="0.2">
      <c r="A37" s="5" t="str">
        <f t="shared" si="0"/>
        <v xml:space="preserve">Boelekade 44  2806AL Gouda </v>
      </c>
      <c r="B37" s="7" t="s">
        <v>173</v>
      </c>
      <c r="C37" t="str" cm="1">
        <f t="array" ref="C37">URL(B37)</f>
        <v>https://www.funda.nl/detail/koop/gouda/appartement-boelekade-44/43832969/</v>
      </c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</row>
    <row r="38" spans="1:19" ht="12.75" x14ac:dyDescent="0.2">
      <c r="A38" s="3" t="str">
        <f t="shared" si="0"/>
        <v xml:space="preserve">Banstraat 14-1  1071JZ Amsterdam </v>
      </c>
      <c r="B38" s="4" t="s">
        <v>174</v>
      </c>
      <c r="C38" t="str" cm="1">
        <f t="array" ref="C38">URL(B38)</f>
        <v>https://www.funda.nl/detail/koop/amsterdam/appartement-banstraat-14-1/43885487/</v>
      </c>
    </row>
    <row r="39" spans="1:19" ht="12.75" x14ac:dyDescent="0.2">
      <c r="A39" s="3" t="str">
        <f t="shared" si="0"/>
        <v xml:space="preserve">Batteryparkstraat 31  1031KH Amsterdam </v>
      </c>
      <c r="B39" s="4" t="s">
        <v>175</v>
      </c>
      <c r="C39" t="str" cm="1">
        <f t="array" ref="C39">URL(B39)</f>
        <v>https://www.funda.nl/detail/huur/amsterdam/appartement-batteryparkstraat-31/43826514/</v>
      </c>
    </row>
    <row r="40" spans="1:19" ht="12.75" x14ac:dyDescent="0.2">
      <c r="A40" s="3" t="str">
        <f t="shared" si="0"/>
        <v xml:space="preserve">Radarweg (Bouwnr. 255 R)  1043NZ Amsterdam </v>
      </c>
      <c r="B40" s="4" t="s">
        <v>176</v>
      </c>
      <c r="C40" t="str" cm="1">
        <f t="array" ref="C40">URL(B40)</f>
        <v>https://www.funda.nl/detail/huur/amsterdam/appartement-radarweg-0-ong/43890961/</v>
      </c>
    </row>
    <row r="41" spans="1:19" ht="12.75" x14ac:dyDescent="0.2">
      <c r="A41" s="3" t="str">
        <f t="shared" si="0"/>
        <v xml:space="preserve">Spaklerweg 12-C18  1096BA Amsterdam </v>
      </c>
      <c r="B41" s="4" t="s">
        <v>177</v>
      </c>
      <c r="C41" t="str" cm="1">
        <f t="array" ref="C41">URL(B41)</f>
        <v>https://www.funda.nl/detail/huur/amsterdam/appartement-spaklerweg-12-c18/43802329/</v>
      </c>
    </row>
    <row r="42" spans="1:19" ht="12.75" x14ac:dyDescent="0.2">
      <c r="A42" s="3" t="str">
        <f t="shared" si="0"/>
        <v xml:space="preserve">Krijn Taconiskade 353  1087HW Amsterdam </v>
      </c>
      <c r="B42" s="4" t="s">
        <v>178</v>
      </c>
      <c r="C42" t="str" cm="1">
        <f t="array" ref="C42">URL(B42)</f>
        <v>https://www.funda.nl/detail/huur/amsterdam/appartement-krijn-taconiskade-353/43846909/</v>
      </c>
    </row>
    <row r="43" spans="1:19" ht="12.75" x14ac:dyDescent="0.2">
      <c r="A43" s="3" t="str">
        <f t="shared" si="0"/>
        <v xml:space="preserve">Zocherstraat 42-A  1054LZ Amsterdam </v>
      </c>
      <c r="B43" s="4" t="s">
        <v>179</v>
      </c>
      <c r="C43" t="str" cm="1">
        <f t="array" ref="C43">URL(B43)</f>
        <v>https://www.funda.nl/detail/huur/amsterdam/appartement-zocherstraat-42-a/43837290/</v>
      </c>
    </row>
    <row r="44" spans="1:19" ht="12.75" x14ac:dyDescent="0.2">
      <c r="A44" s="3" t="str">
        <f t="shared" si="0"/>
        <v xml:space="preserve">H. Diesveldsingel 196  1060RL Amsterdam </v>
      </c>
      <c r="B44" s="4" t="s">
        <v>180</v>
      </c>
      <c r="C44" t="str" cm="1">
        <f t="array" ref="C44">URL(B44)</f>
        <v>https://www.funda.nl/detail/koop/amsterdam/appartement-h-diesveldsingel-196/43811798/</v>
      </c>
    </row>
    <row r="45" spans="1:19" ht="12.75" x14ac:dyDescent="0.2">
      <c r="A45" s="3" t="str">
        <f t="shared" si="0"/>
        <v xml:space="preserve">Willem Parelstraat 172  1018KZ Amsterdam </v>
      </c>
      <c r="B45" s="4" t="s">
        <v>181</v>
      </c>
      <c r="C45" t="str" cm="1">
        <f t="array" ref="C45">URL(B45)</f>
        <v>https://www.funda.nl/detail/huur/amsterdam/appartement-willem-parelstraat-172/43834399/</v>
      </c>
    </row>
    <row r="46" spans="1:19" ht="12.75" x14ac:dyDescent="0.2">
      <c r="A46" s="3" t="str">
        <f t="shared" si="0"/>
        <v xml:space="preserve">Singel 299-H  1012WH Amsterdam </v>
      </c>
      <c r="B46" s="4" t="s">
        <v>182</v>
      </c>
      <c r="C46" t="str" cm="1">
        <f t="array" ref="C46">URL(B46)</f>
        <v>https://www.funda.nl/detail/huur/amsterdam/appartement-singel-299-h/43821013/</v>
      </c>
    </row>
    <row r="47" spans="1:19" ht="12.75" x14ac:dyDescent="0.2">
      <c r="A47" s="3" t="str">
        <f t="shared" si="0"/>
        <v xml:space="preserve">Valeriusstraat 30-2  1071MJ Amsterdam </v>
      </c>
      <c r="B47" s="4" t="s">
        <v>183</v>
      </c>
      <c r="C47" t="str" cm="1">
        <f t="array" ref="C47">URL(B47)</f>
        <v>https://www.funda.nl/detail/huur/amsterdam/appartement-valeriusstraat-30-2/43824609/</v>
      </c>
    </row>
    <row r="48" spans="1:19" ht="12.75" x14ac:dyDescent="0.2">
      <c r="A48" s="3" t="str">
        <f t="shared" si="0"/>
        <v xml:space="preserve">ms. van Riemsdijkweg 182  1033RD Amsterdam </v>
      </c>
      <c r="B48" s="4" t="s">
        <v>184</v>
      </c>
      <c r="C48" t="str" cm="1">
        <f t="array" ref="C48">URL(B48)</f>
        <v>https://www.funda.nl/detail/huur/amsterdam/appartement-ms-van-riemsdijkweg-182/43829820/</v>
      </c>
    </row>
    <row r="49" spans="1:3" ht="12.75" x14ac:dyDescent="0.2">
      <c r="A49" s="3" t="str">
        <f t="shared" si="0"/>
        <v xml:space="preserve">Weena 201  3013AL Rotterdam </v>
      </c>
      <c r="B49" s="4" t="s">
        <v>185</v>
      </c>
      <c r="C49" t="str" cm="1">
        <f t="array" ref="C49">URL(B49)</f>
        <v>https://www.funda.nl/detail/koop/rotterdam/appartement-weena-201/43690120/</v>
      </c>
    </row>
    <row r="50" spans="1:3" ht="12.75" x14ac:dyDescent="0.2">
      <c r="A50" s="3" t="str">
        <f t="shared" si="0"/>
        <v xml:space="preserve">Wilhelminakade 505  3072AP Rotterdam </v>
      </c>
      <c r="B50" s="4" t="s">
        <v>186</v>
      </c>
      <c r="C50" t="str" cm="1">
        <f t="array" ref="C50">URL(B50)</f>
        <v>https://www.funda.nl/detail/huur/rotterdam/appartement-wilhelminakade-505/43895107/</v>
      </c>
    </row>
    <row r="51" spans="1:3" ht="12.75" x14ac:dyDescent="0.2">
      <c r="A51" s="3" t="str">
        <f t="shared" si="0"/>
        <v xml:space="preserve">Wilhelminakade 251  3072AP Rotterdam </v>
      </c>
      <c r="B51" s="4" t="s">
        <v>187</v>
      </c>
      <c r="C51" t="str" cm="1">
        <f t="array" ref="C51">URL(B51)</f>
        <v>https://www.funda.nl/detail/huur/rotterdam/appartement-wilhelminakade-251/43845720/</v>
      </c>
    </row>
    <row r="52" spans="1:3" ht="12.75" x14ac:dyDescent="0.2">
      <c r="A52" s="3" t="str">
        <f t="shared" si="0"/>
        <v xml:space="preserve">Graaf Florisstraat 9-A  3021CA Rotterdam </v>
      </c>
      <c r="B52" s="4" t="s">
        <v>188</v>
      </c>
      <c r="C52" t="str" cm="1">
        <f t="array" ref="C52">URL(B52)</f>
        <v>https://www.funda.nl/detail/huur/rotterdam/appartement-graaf-florisstraat-9-a/43812758/</v>
      </c>
    </row>
    <row r="53" spans="1:3" ht="12.75" x14ac:dyDescent="0.2">
      <c r="A53" s="3" t="str">
        <f t="shared" si="0"/>
        <v xml:space="preserve">Scheepstimmermanslaan 35-A02  3016AE Rotterdam </v>
      </c>
      <c r="B53" s="4" t="s">
        <v>189</v>
      </c>
      <c r="C53" t="str" cm="1">
        <f t="array" ref="C53">URL(B53)</f>
        <v>https://www.funda.nl/detail/huur/rotterdam/appartement-scheepstimmermanslaan-35-a02/43851722/</v>
      </c>
    </row>
    <row r="54" spans="1:3" ht="12.75" x14ac:dyDescent="0.2">
      <c r="A54" s="3" t="str">
        <f t="shared" si="0"/>
        <v xml:space="preserve">Hertekade 255  3011XV Rotterdam </v>
      </c>
      <c r="B54" s="4" t="s">
        <v>190</v>
      </c>
      <c r="C54" t="str" cm="1">
        <f t="array" ref="C54">URL(B54)</f>
        <v>https://www.funda.nl/detail/huur/rotterdam/appartement-hertekade-255/43816050/</v>
      </c>
    </row>
    <row r="55" spans="1:3" ht="12.75" x14ac:dyDescent="0.2">
      <c r="A55" s="3" t="str">
        <f t="shared" si="0"/>
        <v xml:space="preserve">Van der Takstraat 91  3071LK Rotterdam </v>
      </c>
      <c r="B55" s="4" t="s">
        <v>191</v>
      </c>
      <c r="C55" t="str" cm="1">
        <f t="array" ref="C55">URL(B55)</f>
        <v>https://www.funda.nl/detail/huur/rotterdam/appartement-van-der-takstraat-91/43884652/</v>
      </c>
    </row>
    <row r="56" spans="1:3" ht="12.75" x14ac:dyDescent="0.2">
      <c r="A56" s="3" t="str">
        <f t="shared" si="0"/>
        <v xml:space="preserve">Nico Koomanskade 99  3072LM Rotterdam </v>
      </c>
      <c r="B56" s="4" t="s">
        <v>192</v>
      </c>
      <c r="C56" t="str" cm="1">
        <f t="array" ref="C56">URL(B56)</f>
        <v>https://www.funda.nl/detail/huur/rotterdam/appartement-nico-koomanskade-99/43878001/</v>
      </c>
    </row>
    <row r="57" spans="1:3" ht="12.75" x14ac:dyDescent="0.2">
      <c r="A57" s="3" t="str">
        <f t="shared" si="0"/>
        <v xml:space="preserve">Tandwielstraat 393  3083AV Rotterdam </v>
      </c>
      <c r="B57" s="4" t="s">
        <v>193</v>
      </c>
      <c r="C57" t="str" cm="1">
        <f t="array" ref="C57">URL(B57)</f>
        <v>https://www.funda.nl/detail/huur/rotterdam/appartement-tandwielstraat-393/43834560/</v>
      </c>
    </row>
    <row r="58" spans="1:3" ht="12.75" x14ac:dyDescent="0.2">
      <c r="A58" s="3" t="str">
        <f t="shared" si="0"/>
        <v xml:space="preserve">Boezemsingel 372  3034CD Rotterdam </v>
      </c>
      <c r="B58" s="4" t="s">
        <v>194</v>
      </c>
      <c r="C58" t="str" cm="1">
        <f t="array" ref="C58">URL(B58)</f>
        <v>https://www.funda.nl/detail/huur/rotterdam/appartement-boezemsingel-372/43860638/</v>
      </c>
    </row>
    <row r="59" spans="1:3" ht="12.75" x14ac:dyDescent="0.2">
      <c r="A59" s="3" t="str">
        <f t="shared" si="0"/>
        <v xml:space="preserve">Burghsluissingel 144  3086VD Rotterdam </v>
      </c>
      <c r="B59" s="4" t="s">
        <v>195</v>
      </c>
      <c r="C59" t="str" cm="1">
        <f t="array" ref="C59">URL(B59)</f>
        <v>https://www.funda.nl/detail/huur/rotterdam/appartement-burghsluissingel-144/43746403/</v>
      </c>
    </row>
    <row r="60" spans="1:3" ht="12.75" x14ac:dyDescent="0.2">
      <c r="A60" s="3" t="str">
        <f t="shared" si="0"/>
        <v xml:space="preserve">Siersteenlaan 363  9743ER Groningen </v>
      </c>
      <c r="B60" s="4" t="s">
        <v>196</v>
      </c>
      <c r="C60" t="str" cm="1">
        <f t="array" ref="C60">URL(B60)</f>
        <v>https://www.funda.nl/detail/huur/groningen/appartement-siersteenlaan-363/43849800/</v>
      </c>
    </row>
    <row r="61" spans="1:3" ht="12.75" x14ac:dyDescent="0.2">
      <c r="A61" s="3" t="str">
        <f t="shared" si="0"/>
        <v xml:space="preserve">Friesestraatweg 141-265  9743AA Groningen </v>
      </c>
      <c r="B61" s="4" t="s">
        <v>197</v>
      </c>
      <c r="C61" t="str" cm="1">
        <f t="array" ref="C61">URL(B61)</f>
        <v>https://www.funda.nl/detail/huur/groningen/appartement-friesestraatweg-141-265/43840282/</v>
      </c>
    </row>
    <row r="62" spans="1:3" ht="12.75" x14ac:dyDescent="0.2">
      <c r="A62" s="3" t="str">
        <f t="shared" si="0"/>
        <v xml:space="preserve">Schorsmolenstraat 18  9723DZ Groningen </v>
      </c>
      <c r="B62" s="4" t="s">
        <v>198</v>
      </c>
      <c r="C62" t="str" cm="1">
        <f t="array" ref="C62">URL(B62)</f>
        <v>https://www.funda.nl/detail/huur/groningen/huis-schorsmolenstraat-18/43834647/</v>
      </c>
    </row>
    <row r="63" spans="1:3" ht="12.75" x14ac:dyDescent="0.2">
      <c r="A63" s="3" t="str">
        <f t="shared" si="0"/>
        <v xml:space="preserve">Fongersplaats 126  9725LG Groningen </v>
      </c>
      <c r="B63" s="4" t="s">
        <v>199</v>
      </c>
      <c r="C63" t="str" cm="1">
        <f t="array" ref="C63">URL(B63)</f>
        <v>https://www.funda.nl/detail/huur/groningen/appartement-fongersplaats-126/43846160/</v>
      </c>
    </row>
    <row r="64" spans="1:3" ht="12.75" x14ac:dyDescent="0.2">
      <c r="A64" s="3" t="str">
        <f t="shared" si="0"/>
        <v>s</v>
      </c>
      <c r="B64" s="2" t="s">
        <v>202</v>
      </c>
    </row>
  </sheetData>
  <hyperlinks>
    <hyperlink ref="B2" r:id="rId1" xr:uid="{00000000-0004-0000-0400-000000000000}"/>
    <hyperlink ref="B3" r:id="rId2" xr:uid="{00000000-0004-0000-0400-000001000000}"/>
    <hyperlink ref="B4" r:id="rId3" xr:uid="{00000000-0004-0000-0400-000002000000}"/>
    <hyperlink ref="B5" r:id="rId4" xr:uid="{00000000-0004-0000-0400-000003000000}"/>
    <hyperlink ref="B6" r:id="rId5" xr:uid="{00000000-0004-0000-0400-000004000000}"/>
    <hyperlink ref="B7" r:id="rId6" xr:uid="{00000000-0004-0000-0400-000005000000}"/>
    <hyperlink ref="B8" r:id="rId7" xr:uid="{00000000-0004-0000-0400-000006000000}"/>
    <hyperlink ref="B9" r:id="rId8" xr:uid="{00000000-0004-0000-0400-000007000000}"/>
    <hyperlink ref="B10" r:id="rId9" xr:uid="{00000000-0004-0000-0400-000008000000}"/>
    <hyperlink ref="B11" r:id="rId10" xr:uid="{00000000-0004-0000-0400-000009000000}"/>
    <hyperlink ref="B12" r:id="rId11" xr:uid="{00000000-0004-0000-0400-00000A000000}"/>
    <hyperlink ref="B13" r:id="rId12" xr:uid="{00000000-0004-0000-0400-00000B000000}"/>
    <hyperlink ref="B14" r:id="rId13" xr:uid="{00000000-0004-0000-0400-00000C000000}"/>
    <hyperlink ref="B15" r:id="rId14" xr:uid="{00000000-0004-0000-0400-00000D000000}"/>
    <hyperlink ref="B16" r:id="rId15" xr:uid="{00000000-0004-0000-0400-00000E000000}"/>
    <hyperlink ref="B17" r:id="rId16" xr:uid="{00000000-0004-0000-0400-00000F000000}"/>
    <hyperlink ref="B18" r:id="rId17" xr:uid="{00000000-0004-0000-0400-000010000000}"/>
    <hyperlink ref="B19" r:id="rId18" xr:uid="{00000000-0004-0000-0400-000011000000}"/>
    <hyperlink ref="B20" r:id="rId19" xr:uid="{00000000-0004-0000-0400-000012000000}"/>
    <hyperlink ref="B21" r:id="rId20" xr:uid="{00000000-0004-0000-0400-000013000000}"/>
    <hyperlink ref="B22" r:id="rId21" xr:uid="{00000000-0004-0000-0400-000014000000}"/>
    <hyperlink ref="B23" r:id="rId22" xr:uid="{00000000-0004-0000-0400-000015000000}"/>
    <hyperlink ref="B24" r:id="rId23" xr:uid="{00000000-0004-0000-0400-000016000000}"/>
    <hyperlink ref="B25" r:id="rId24" xr:uid="{00000000-0004-0000-0400-000017000000}"/>
    <hyperlink ref="B26" r:id="rId25" xr:uid="{00000000-0004-0000-0400-000018000000}"/>
    <hyperlink ref="B27" r:id="rId26" xr:uid="{00000000-0004-0000-0400-000019000000}"/>
    <hyperlink ref="B28" r:id="rId27" xr:uid="{00000000-0004-0000-0400-00001A000000}"/>
    <hyperlink ref="B29" r:id="rId28" xr:uid="{00000000-0004-0000-0400-00001B000000}"/>
    <hyperlink ref="B30" r:id="rId29" xr:uid="{00000000-0004-0000-0400-00001C000000}"/>
    <hyperlink ref="B31" r:id="rId30" xr:uid="{00000000-0004-0000-0400-00001D000000}"/>
    <hyperlink ref="B32" r:id="rId31" xr:uid="{00000000-0004-0000-0400-00001E000000}"/>
    <hyperlink ref="B33" r:id="rId32" xr:uid="{00000000-0004-0000-0400-00001F000000}"/>
    <hyperlink ref="B34" r:id="rId33" xr:uid="{00000000-0004-0000-0400-000020000000}"/>
    <hyperlink ref="B35" r:id="rId34" xr:uid="{00000000-0004-0000-0400-000021000000}"/>
    <hyperlink ref="B36" r:id="rId35" xr:uid="{00000000-0004-0000-0400-000022000000}"/>
    <hyperlink ref="B37" r:id="rId36" xr:uid="{00000000-0004-0000-0400-000023000000}"/>
    <hyperlink ref="B38" r:id="rId37" xr:uid="{00000000-0004-0000-0400-000024000000}"/>
    <hyperlink ref="B39" r:id="rId38" xr:uid="{00000000-0004-0000-0400-000025000000}"/>
    <hyperlink ref="B40" r:id="rId39" xr:uid="{00000000-0004-0000-0400-000026000000}"/>
    <hyperlink ref="B41" r:id="rId40" xr:uid="{00000000-0004-0000-0400-000027000000}"/>
    <hyperlink ref="B42" r:id="rId41" xr:uid="{00000000-0004-0000-0400-000028000000}"/>
    <hyperlink ref="B43" r:id="rId42" xr:uid="{00000000-0004-0000-0400-000029000000}"/>
    <hyperlink ref="B44" r:id="rId43" xr:uid="{00000000-0004-0000-0400-00002A000000}"/>
    <hyperlink ref="B45" r:id="rId44" xr:uid="{00000000-0004-0000-0400-00002B000000}"/>
    <hyperlink ref="B46" r:id="rId45" xr:uid="{00000000-0004-0000-0400-00002C000000}"/>
    <hyperlink ref="B47" r:id="rId46" xr:uid="{00000000-0004-0000-0400-00002D000000}"/>
    <hyperlink ref="B48" r:id="rId47" xr:uid="{00000000-0004-0000-0400-00002E000000}"/>
    <hyperlink ref="B49" r:id="rId48" xr:uid="{00000000-0004-0000-0400-00002F000000}"/>
    <hyperlink ref="B50" r:id="rId49" xr:uid="{00000000-0004-0000-0400-000030000000}"/>
    <hyperlink ref="B51" r:id="rId50" xr:uid="{00000000-0004-0000-0400-000031000000}"/>
    <hyperlink ref="B52" r:id="rId51" xr:uid="{00000000-0004-0000-0400-000032000000}"/>
    <hyperlink ref="B53" r:id="rId52" xr:uid="{00000000-0004-0000-0400-000033000000}"/>
    <hyperlink ref="B54" r:id="rId53" xr:uid="{00000000-0004-0000-0400-000034000000}"/>
    <hyperlink ref="B55" r:id="rId54" xr:uid="{00000000-0004-0000-0400-000035000000}"/>
    <hyperlink ref="B56" r:id="rId55" xr:uid="{00000000-0004-0000-0400-000036000000}"/>
    <hyperlink ref="B57" r:id="rId56" xr:uid="{00000000-0004-0000-0400-000037000000}"/>
    <hyperlink ref="B58" r:id="rId57" xr:uid="{00000000-0004-0000-0400-000038000000}"/>
    <hyperlink ref="B59" r:id="rId58" xr:uid="{00000000-0004-0000-0400-000039000000}"/>
    <hyperlink ref="B60" r:id="rId59" xr:uid="{00000000-0004-0000-0400-00003A000000}"/>
    <hyperlink ref="B61" r:id="rId60" xr:uid="{00000000-0004-0000-0400-00003B000000}"/>
    <hyperlink ref="B62" r:id="rId61" xr:uid="{00000000-0004-0000-0400-00003C000000}"/>
    <hyperlink ref="B63" r:id="rId62" xr:uid="{00000000-0004-0000-0400-00003D000000}"/>
    <hyperlink ref="B64" r:id="rId63" display="Prinsenstraat 13  9711CL Groningen " xr:uid="{00000000-0004-0000-0400-00003E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07E77-0E34-4383-B62A-BD14638C6FA3}">
  <dimension ref="A1:G49"/>
  <sheetViews>
    <sheetView workbookViewId="0">
      <selection activeCell="G2" sqref="G2"/>
    </sheetView>
  </sheetViews>
  <sheetFormatPr defaultRowHeight="12.75" x14ac:dyDescent="0.2"/>
  <cols>
    <col min="1" max="1" width="28.5703125" bestFit="1" customWidth="1"/>
    <col min="2" max="2" width="40.85546875" bestFit="1" customWidth="1"/>
    <col min="3" max="3" width="28.7109375" bestFit="1" customWidth="1"/>
    <col min="4" max="4" width="28.140625" customWidth="1"/>
    <col min="5" max="5" width="54.85546875" bestFit="1" customWidth="1"/>
    <col min="6" max="6" width="59.5703125" bestFit="1" customWidth="1"/>
    <col min="7" max="7" width="46.28515625" bestFit="1" customWidth="1"/>
  </cols>
  <sheetData>
    <row r="1" spans="1:7" ht="15" x14ac:dyDescent="0.25">
      <c r="A1" s="8" t="s">
        <v>0</v>
      </c>
      <c r="B1" s="8" t="s">
        <v>7</v>
      </c>
      <c r="C1" s="8" t="s">
        <v>8</v>
      </c>
      <c r="D1" s="8" t="s">
        <v>9</v>
      </c>
      <c r="E1" s="8" t="s">
        <v>10</v>
      </c>
      <c r="F1" s="8" t="s">
        <v>11</v>
      </c>
      <c r="G1" s="8" t="s">
        <v>226</v>
      </c>
    </row>
    <row r="2" spans="1:7" x14ac:dyDescent="0.2">
      <c r="A2" t="s">
        <v>1</v>
      </c>
      <c r="B2" t="s">
        <v>12</v>
      </c>
      <c r="C2" t="s">
        <v>5</v>
      </c>
      <c r="D2" s="9" t="s">
        <v>13</v>
      </c>
      <c r="F2" t="s">
        <v>14</v>
      </c>
      <c r="G2" t="s">
        <v>15</v>
      </c>
    </row>
    <row r="3" spans="1:7" x14ac:dyDescent="0.2">
      <c r="A3" t="s">
        <v>1</v>
      </c>
      <c r="B3" t="s">
        <v>16</v>
      </c>
      <c r="C3" t="s">
        <v>5</v>
      </c>
      <c r="D3" t="s">
        <v>13</v>
      </c>
      <c r="F3" t="s">
        <v>14</v>
      </c>
      <c r="G3" t="s">
        <v>17</v>
      </c>
    </row>
    <row r="4" spans="1:7" x14ac:dyDescent="0.2">
      <c r="A4" t="s">
        <v>1</v>
      </c>
      <c r="B4" t="s">
        <v>18</v>
      </c>
      <c r="C4" t="s">
        <v>5</v>
      </c>
      <c r="D4" t="s">
        <v>13</v>
      </c>
      <c r="F4" t="s">
        <v>14</v>
      </c>
      <c r="G4" t="s">
        <v>19</v>
      </c>
    </row>
    <row r="5" spans="1:7" x14ac:dyDescent="0.2">
      <c r="A5" t="s">
        <v>1</v>
      </c>
      <c r="B5" t="s">
        <v>20</v>
      </c>
      <c r="C5" t="s">
        <v>5</v>
      </c>
      <c r="D5" t="s">
        <v>13</v>
      </c>
      <c r="F5" t="s">
        <v>14</v>
      </c>
      <c r="G5">
        <v>75</v>
      </c>
    </row>
    <row r="6" spans="1:7" x14ac:dyDescent="0.2">
      <c r="A6" t="s">
        <v>1</v>
      </c>
      <c r="B6" t="s">
        <v>21</v>
      </c>
      <c r="C6" t="s">
        <v>5</v>
      </c>
      <c r="D6" t="s">
        <v>13</v>
      </c>
      <c r="E6" t="s">
        <v>22</v>
      </c>
      <c r="F6" t="s">
        <v>23</v>
      </c>
      <c r="G6">
        <v>2022</v>
      </c>
    </row>
    <row r="7" spans="1:7" x14ac:dyDescent="0.2">
      <c r="A7" t="s">
        <v>1</v>
      </c>
      <c r="B7" t="s">
        <v>4</v>
      </c>
      <c r="C7" t="s">
        <v>5</v>
      </c>
      <c r="D7" t="s">
        <v>13</v>
      </c>
      <c r="F7" t="s">
        <v>5</v>
      </c>
      <c r="G7" t="s">
        <v>24</v>
      </c>
    </row>
    <row r="8" spans="1:7" x14ac:dyDescent="0.2">
      <c r="A8" t="s">
        <v>1</v>
      </c>
      <c r="B8" t="s">
        <v>25</v>
      </c>
      <c r="C8" t="s">
        <v>26</v>
      </c>
      <c r="F8" t="s">
        <v>14</v>
      </c>
      <c r="G8" t="s">
        <v>3</v>
      </c>
    </row>
    <row r="9" spans="1:7" x14ac:dyDescent="0.2">
      <c r="A9" t="s">
        <v>1</v>
      </c>
      <c r="B9" t="s">
        <v>27</v>
      </c>
      <c r="C9" t="s">
        <v>26</v>
      </c>
      <c r="F9" t="s">
        <v>14</v>
      </c>
    </row>
    <row r="10" spans="1:7" x14ac:dyDescent="0.2">
      <c r="A10" t="s">
        <v>2</v>
      </c>
      <c r="B10" t="s">
        <v>28</v>
      </c>
      <c r="C10" t="s">
        <v>6</v>
      </c>
      <c r="D10" t="s">
        <v>29</v>
      </c>
      <c r="F10" t="s">
        <v>30</v>
      </c>
      <c r="G10">
        <v>643000</v>
      </c>
    </row>
    <row r="11" spans="1:7" x14ac:dyDescent="0.2">
      <c r="A11" t="s">
        <v>2</v>
      </c>
      <c r="B11" t="s">
        <v>31</v>
      </c>
      <c r="C11" t="s">
        <v>6</v>
      </c>
      <c r="D11" t="s">
        <v>32</v>
      </c>
      <c r="F11" s="10" t="s">
        <v>204</v>
      </c>
      <c r="G11">
        <v>822619</v>
      </c>
    </row>
    <row r="12" spans="1:7" x14ac:dyDescent="0.2">
      <c r="A12" t="s">
        <v>2</v>
      </c>
      <c r="B12" t="s">
        <v>33</v>
      </c>
      <c r="C12" t="s">
        <v>205</v>
      </c>
      <c r="D12" t="s">
        <v>32</v>
      </c>
      <c r="E12" t="s">
        <v>34</v>
      </c>
      <c r="F12" s="10" t="s">
        <v>206</v>
      </c>
      <c r="G12" s="11">
        <f>(575-419)/822</f>
        <v>0.18978102189781021</v>
      </c>
    </row>
    <row r="13" spans="1:7" x14ac:dyDescent="0.2">
      <c r="A13" t="s">
        <v>2</v>
      </c>
      <c r="B13" t="s">
        <v>35</v>
      </c>
      <c r="C13" t="s">
        <v>36</v>
      </c>
      <c r="D13" t="s">
        <v>37</v>
      </c>
      <c r="E13" t="s">
        <v>38</v>
      </c>
      <c r="F13" s="10" t="s">
        <v>39</v>
      </c>
      <c r="G13">
        <v>10</v>
      </c>
    </row>
    <row r="14" spans="1:7" x14ac:dyDescent="0.2">
      <c r="A14" t="s">
        <v>2</v>
      </c>
      <c r="B14" t="s">
        <v>40</v>
      </c>
      <c r="C14" t="s">
        <v>6</v>
      </c>
      <c r="F14" s="10" t="s">
        <v>207</v>
      </c>
      <c r="G14" s="12">
        <v>9.64E-2</v>
      </c>
    </row>
    <row r="15" spans="1:7" x14ac:dyDescent="0.2">
      <c r="A15" t="s">
        <v>2</v>
      </c>
      <c r="B15" t="s">
        <v>41</v>
      </c>
      <c r="C15" t="s">
        <v>5</v>
      </c>
      <c r="D15" t="s">
        <v>13</v>
      </c>
      <c r="E15" t="s">
        <v>208</v>
      </c>
      <c r="F15" s="10" t="s">
        <v>209</v>
      </c>
      <c r="G15">
        <v>26</v>
      </c>
    </row>
    <row r="16" spans="1:7" x14ac:dyDescent="0.2">
      <c r="A16" t="s">
        <v>2</v>
      </c>
      <c r="B16" t="s">
        <v>42</v>
      </c>
      <c r="C16" t="s">
        <v>6</v>
      </c>
      <c r="D16" s="9" t="s">
        <v>32</v>
      </c>
      <c r="E16" t="s">
        <v>43</v>
      </c>
      <c r="F16" s="10" t="s">
        <v>210</v>
      </c>
      <c r="G16">
        <v>19</v>
      </c>
    </row>
    <row r="17" spans="1:7" x14ac:dyDescent="0.2">
      <c r="A17" t="s">
        <v>2</v>
      </c>
      <c r="B17" t="s">
        <v>44</v>
      </c>
      <c r="C17" t="s">
        <v>45</v>
      </c>
      <c r="D17" t="s">
        <v>46</v>
      </c>
      <c r="F17" s="10" t="s">
        <v>211</v>
      </c>
      <c r="G17">
        <v>182634</v>
      </c>
    </row>
    <row r="18" spans="1:7" x14ac:dyDescent="0.2">
      <c r="A18" t="s">
        <v>47</v>
      </c>
      <c r="B18" t="s">
        <v>48</v>
      </c>
      <c r="C18" t="s">
        <v>5</v>
      </c>
      <c r="D18" t="s">
        <v>49</v>
      </c>
      <c r="E18" t="s">
        <v>212</v>
      </c>
      <c r="F18" s="10" t="s">
        <v>213</v>
      </c>
      <c r="G18">
        <v>1650</v>
      </c>
    </row>
    <row r="19" spans="1:7" x14ac:dyDescent="0.2">
      <c r="A19" t="s">
        <v>47</v>
      </c>
      <c r="B19" t="s">
        <v>50</v>
      </c>
      <c r="C19" t="s">
        <v>45</v>
      </c>
      <c r="D19" t="s">
        <v>46</v>
      </c>
      <c r="F19" s="10" t="s">
        <v>214</v>
      </c>
      <c r="G19" s="12">
        <v>0.05</v>
      </c>
    </row>
    <row r="20" spans="1:7" x14ac:dyDescent="0.2">
      <c r="A20" t="s">
        <v>47</v>
      </c>
      <c r="B20" t="s">
        <v>51</v>
      </c>
      <c r="C20" t="s">
        <v>26</v>
      </c>
      <c r="F20" s="10" t="s">
        <v>215</v>
      </c>
      <c r="G20" s="12">
        <v>2.5999999999999999E-2</v>
      </c>
    </row>
    <row r="21" spans="1:7" x14ac:dyDescent="0.2">
      <c r="A21" t="s">
        <v>47</v>
      </c>
      <c r="B21" t="s">
        <v>52</v>
      </c>
      <c r="C21" t="s">
        <v>45</v>
      </c>
      <c r="D21" t="s">
        <v>46</v>
      </c>
      <c r="F21" s="10" t="s">
        <v>216</v>
      </c>
      <c r="G21">
        <v>24</v>
      </c>
    </row>
    <row r="22" spans="1:7" x14ac:dyDescent="0.2">
      <c r="A22" t="s">
        <v>47</v>
      </c>
      <c r="B22" t="s">
        <v>53</v>
      </c>
      <c r="C22" t="s">
        <v>26</v>
      </c>
      <c r="F22" s="10" t="s">
        <v>217</v>
      </c>
      <c r="G22">
        <v>9</v>
      </c>
    </row>
    <row r="23" spans="1:7" x14ac:dyDescent="0.2">
      <c r="A23" t="s">
        <v>47</v>
      </c>
      <c r="B23" t="s">
        <v>54</v>
      </c>
      <c r="C23" t="s">
        <v>45</v>
      </c>
      <c r="D23" t="s">
        <v>46</v>
      </c>
      <c r="F23" s="10" t="s">
        <v>218</v>
      </c>
      <c r="G23" s="12">
        <v>5.1999999999999998E-2</v>
      </c>
    </row>
    <row r="24" spans="1:7" x14ac:dyDescent="0.2">
      <c r="A24" t="s">
        <v>55</v>
      </c>
      <c r="B24" t="s">
        <v>56</v>
      </c>
      <c r="C24" t="s">
        <v>57</v>
      </c>
      <c r="D24" t="s">
        <v>58</v>
      </c>
      <c r="F24" s="10" t="s">
        <v>59</v>
      </c>
      <c r="G24">
        <v>570000</v>
      </c>
    </row>
    <row r="25" spans="1:7" x14ac:dyDescent="0.2">
      <c r="A25" t="s">
        <v>55</v>
      </c>
      <c r="B25" t="s">
        <v>60</v>
      </c>
      <c r="C25" t="s">
        <v>61</v>
      </c>
      <c r="D25" t="s">
        <v>62</v>
      </c>
      <c r="F25" s="10" t="s">
        <v>219</v>
      </c>
      <c r="G25" s="12">
        <v>6.7000000000000004E-2</v>
      </c>
    </row>
    <row r="26" spans="1:7" x14ac:dyDescent="0.2">
      <c r="A26" t="s">
        <v>55</v>
      </c>
      <c r="B26" t="s">
        <v>63</v>
      </c>
      <c r="C26" t="s">
        <v>5</v>
      </c>
      <c r="D26" t="s">
        <v>13</v>
      </c>
      <c r="F26" s="10" t="s">
        <v>220</v>
      </c>
      <c r="G26">
        <v>8221</v>
      </c>
    </row>
    <row r="27" spans="1:7" x14ac:dyDescent="0.2">
      <c r="A27" t="s">
        <v>55</v>
      </c>
      <c r="B27" t="s">
        <v>64</v>
      </c>
      <c r="C27" t="s">
        <v>65</v>
      </c>
      <c r="D27" s="9" t="s">
        <v>221</v>
      </c>
      <c r="E27" t="s">
        <v>66</v>
      </c>
      <c r="F27" s="10" t="s">
        <v>67</v>
      </c>
      <c r="G27" s="12">
        <v>8.7999999999999995E-2</v>
      </c>
    </row>
    <row r="28" spans="1:7" x14ac:dyDescent="0.2">
      <c r="A28" t="s">
        <v>68</v>
      </c>
      <c r="B28" t="s">
        <v>69</v>
      </c>
      <c r="C28" t="s">
        <v>70</v>
      </c>
      <c r="D28" t="s">
        <v>71</v>
      </c>
      <c r="E28" t="s">
        <v>72</v>
      </c>
      <c r="F28" s="10" t="s">
        <v>57</v>
      </c>
      <c r="G28" s="12">
        <v>8.9999999999999993E-3</v>
      </c>
    </row>
    <row r="29" spans="1:7" x14ac:dyDescent="0.2">
      <c r="A29" t="s">
        <v>68</v>
      </c>
      <c r="B29" t="s">
        <v>73</v>
      </c>
      <c r="C29" t="s">
        <v>70</v>
      </c>
      <c r="D29" t="s">
        <v>71</v>
      </c>
      <c r="F29" s="10" t="s">
        <v>222</v>
      </c>
      <c r="G29" s="12">
        <v>6.0000000000000001E-3</v>
      </c>
    </row>
    <row r="30" spans="1:7" x14ac:dyDescent="0.2">
      <c r="A30" t="s">
        <v>68</v>
      </c>
      <c r="B30" t="s">
        <v>74</v>
      </c>
      <c r="C30" t="s">
        <v>57</v>
      </c>
      <c r="D30" t="s">
        <v>58</v>
      </c>
      <c r="F30" s="10" t="s">
        <v>57</v>
      </c>
      <c r="G30" s="12">
        <v>3.6999999999999998E-2</v>
      </c>
    </row>
    <row r="31" spans="1:7" x14ac:dyDescent="0.2">
      <c r="A31" t="s">
        <v>68</v>
      </c>
      <c r="B31" t="s">
        <v>75</v>
      </c>
      <c r="C31" t="s">
        <v>76</v>
      </c>
      <c r="D31" t="s">
        <v>77</v>
      </c>
      <c r="E31" t="s">
        <v>78</v>
      </c>
      <c r="F31" s="10" t="s">
        <v>79</v>
      </c>
      <c r="G31" s="12">
        <v>4.1000000000000002E-2</v>
      </c>
    </row>
    <row r="32" spans="1:7" x14ac:dyDescent="0.2">
      <c r="A32" t="s">
        <v>68</v>
      </c>
      <c r="B32" t="s">
        <v>80</v>
      </c>
      <c r="C32" t="s">
        <v>57</v>
      </c>
      <c r="D32" t="s">
        <v>58</v>
      </c>
      <c r="F32" s="10" t="s">
        <v>57</v>
      </c>
      <c r="G32" s="12">
        <v>3.3000000000000002E-2</v>
      </c>
    </row>
    <row r="33" spans="1:7" x14ac:dyDescent="0.2">
      <c r="A33" t="s">
        <v>68</v>
      </c>
      <c r="B33" t="s">
        <v>81</v>
      </c>
      <c r="C33" t="s">
        <v>5</v>
      </c>
      <c r="D33" t="s">
        <v>82</v>
      </c>
      <c r="F33" s="10" t="s">
        <v>83</v>
      </c>
      <c r="G33" s="13">
        <v>0.12</v>
      </c>
    </row>
    <row r="34" spans="1:7" x14ac:dyDescent="0.2">
      <c r="A34" t="s">
        <v>68</v>
      </c>
      <c r="B34" t="s">
        <v>84</v>
      </c>
      <c r="C34" t="s">
        <v>85</v>
      </c>
      <c r="F34" s="10" t="s">
        <v>86</v>
      </c>
      <c r="G34">
        <v>6.5</v>
      </c>
    </row>
    <row r="35" spans="1:7" x14ac:dyDescent="0.2">
      <c r="A35" t="s">
        <v>87</v>
      </c>
      <c r="B35" t="s">
        <v>88</v>
      </c>
      <c r="C35" t="s">
        <v>26</v>
      </c>
      <c r="F35" s="10" t="s">
        <v>223</v>
      </c>
      <c r="G35" s="13">
        <v>0.1</v>
      </c>
    </row>
    <row r="36" spans="1:7" x14ac:dyDescent="0.2">
      <c r="A36" t="s">
        <v>87</v>
      </c>
      <c r="B36" t="s">
        <v>89</v>
      </c>
      <c r="C36" t="s">
        <v>5</v>
      </c>
      <c r="D36" t="s">
        <v>90</v>
      </c>
      <c r="E36" t="s">
        <v>91</v>
      </c>
      <c r="F36" s="10" t="s">
        <v>224</v>
      </c>
      <c r="G36">
        <v>27</v>
      </c>
    </row>
    <row r="37" spans="1:7" x14ac:dyDescent="0.2">
      <c r="A37" t="s">
        <v>87</v>
      </c>
      <c r="B37" t="s">
        <v>92</v>
      </c>
      <c r="C37" t="s">
        <v>26</v>
      </c>
      <c r="F37" s="10" t="s">
        <v>225</v>
      </c>
      <c r="G37">
        <v>8</v>
      </c>
    </row>
    <row r="38" spans="1:7" x14ac:dyDescent="0.2">
      <c r="A38" t="s">
        <v>87</v>
      </c>
      <c r="B38" t="s">
        <v>93</v>
      </c>
      <c r="C38" t="s">
        <v>94</v>
      </c>
      <c r="D38" t="s">
        <v>95</v>
      </c>
      <c r="E38" t="s">
        <v>96</v>
      </c>
      <c r="F38" s="10" t="s">
        <v>97</v>
      </c>
      <c r="G38" s="13">
        <v>0.04</v>
      </c>
    </row>
    <row r="39" spans="1:7" x14ac:dyDescent="0.2">
      <c r="A39" t="s">
        <v>98</v>
      </c>
      <c r="B39" t="s">
        <v>99</v>
      </c>
      <c r="C39" t="s">
        <v>100</v>
      </c>
      <c r="D39" t="s">
        <v>101</v>
      </c>
      <c r="F39" t="s">
        <v>102</v>
      </c>
      <c r="G39" s="12">
        <v>4.6200000000000001E-4</v>
      </c>
    </row>
    <row r="40" spans="1:7" x14ac:dyDescent="0.2">
      <c r="A40" t="s">
        <v>98</v>
      </c>
      <c r="B40" t="s">
        <v>103</v>
      </c>
      <c r="C40" t="s">
        <v>104</v>
      </c>
      <c r="D40" t="s">
        <v>105</v>
      </c>
      <c r="E40" t="s">
        <v>106</v>
      </c>
      <c r="F40" t="s">
        <v>107</v>
      </c>
      <c r="G40" t="s">
        <v>108</v>
      </c>
    </row>
    <row r="41" spans="1:7" x14ac:dyDescent="0.2">
      <c r="A41" t="s">
        <v>98</v>
      </c>
      <c r="B41" t="s">
        <v>109</v>
      </c>
      <c r="C41" t="s">
        <v>110</v>
      </c>
      <c r="F41" t="s">
        <v>111</v>
      </c>
      <c r="G41" t="s">
        <v>112</v>
      </c>
    </row>
    <row r="42" spans="1:7" x14ac:dyDescent="0.2">
      <c r="A42" t="s">
        <v>98</v>
      </c>
      <c r="B42" t="s">
        <v>113</v>
      </c>
      <c r="C42" t="s">
        <v>114</v>
      </c>
      <c r="F42" t="s">
        <v>115</v>
      </c>
      <c r="G42" t="s">
        <v>116</v>
      </c>
    </row>
    <row r="43" spans="1:7" x14ac:dyDescent="0.2">
      <c r="A43" t="s">
        <v>98</v>
      </c>
      <c r="B43" t="s">
        <v>117</v>
      </c>
      <c r="C43" t="s">
        <v>26</v>
      </c>
      <c r="F43" t="s">
        <v>118</v>
      </c>
      <c r="G43">
        <v>3</v>
      </c>
    </row>
    <row r="44" spans="1:7" x14ac:dyDescent="0.2">
      <c r="A44" t="s">
        <v>119</v>
      </c>
      <c r="B44" t="s">
        <v>120</v>
      </c>
      <c r="C44" t="s">
        <v>121</v>
      </c>
      <c r="F44" t="s">
        <v>122</v>
      </c>
      <c r="G44">
        <v>7</v>
      </c>
    </row>
    <row r="45" spans="1:7" x14ac:dyDescent="0.2">
      <c r="A45" t="s">
        <v>119</v>
      </c>
      <c r="B45" t="s">
        <v>123</v>
      </c>
      <c r="C45" t="s">
        <v>124</v>
      </c>
      <c r="F45" t="s">
        <v>125</v>
      </c>
      <c r="G45" t="s">
        <v>126</v>
      </c>
    </row>
    <row r="46" spans="1:7" x14ac:dyDescent="0.2">
      <c r="A46" t="s">
        <v>119</v>
      </c>
      <c r="B46" t="s">
        <v>127</v>
      </c>
      <c r="C46" t="s">
        <v>82</v>
      </c>
      <c r="F46" t="s">
        <v>128</v>
      </c>
      <c r="G46" t="s">
        <v>129</v>
      </c>
    </row>
    <row r="47" spans="1:7" x14ac:dyDescent="0.2">
      <c r="A47" t="s">
        <v>119</v>
      </c>
      <c r="B47" t="s">
        <v>130</v>
      </c>
      <c r="C47" t="s">
        <v>82</v>
      </c>
      <c r="F47" t="s">
        <v>131</v>
      </c>
      <c r="G47" t="s">
        <v>132</v>
      </c>
    </row>
    <row r="48" spans="1:7" x14ac:dyDescent="0.2">
      <c r="A48" t="s">
        <v>119</v>
      </c>
      <c r="B48" t="s">
        <v>133</v>
      </c>
      <c r="C48" t="s">
        <v>134</v>
      </c>
      <c r="F48" t="s">
        <v>135</v>
      </c>
      <c r="G48">
        <v>10</v>
      </c>
    </row>
    <row r="49" spans="1:7" x14ac:dyDescent="0.2">
      <c r="A49" t="s">
        <v>119</v>
      </c>
      <c r="B49" t="s">
        <v>136</v>
      </c>
      <c r="C49" t="s">
        <v>26</v>
      </c>
      <c r="F49" t="s">
        <v>137</v>
      </c>
      <c r="G49" s="13">
        <v>0.2</v>
      </c>
    </row>
  </sheetData>
  <hyperlinks>
    <hyperlink ref="D16" r:id="rId1" xr:uid="{3D49671A-85D4-48D3-B0BC-FB4B1DC8AD5C}"/>
    <hyperlink ref="D27" r:id="rId2" xr:uid="{ACA07DB2-1681-4425-BAA5-1B3DD253B1CA}"/>
    <hyperlink ref="D2" r:id="rId3" xr:uid="{B9F44DBF-874B-4213-87F9-B774B7885D3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🏡 Property Details</vt:lpstr>
      <vt:lpstr>Example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Aljereau Marten</dc:creator>
  <cp:lastModifiedBy>aljereau marten</cp:lastModifiedBy>
  <dcterms:created xsi:type="dcterms:W3CDTF">2025-03-29T06:47:42Z</dcterms:created>
  <dcterms:modified xsi:type="dcterms:W3CDTF">2025-03-29T08:16:01Z</dcterms:modified>
</cp:coreProperties>
</file>